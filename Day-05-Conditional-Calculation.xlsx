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mitv\AppData\Local\Packages\5319275A.WhatsAppDesktop_cv1g1gvanyjgm\LocalState\sessions\DACADAF45A9E0656035E48F5D25435CF3D445624\transfers\2026-40\"/>
    </mc:Choice>
  </mc:AlternateContent>
  <xr:revisionPtr revIDLastSave="0" documentId="13_ncr:1_{4CA52F1B-6D00-4338-8ECD-94EB18379F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ditional Calculation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5" i="1" l="1"/>
  <c r="D25" i="1"/>
  <c r="F25" i="1" s="1"/>
  <c r="G25" i="1" s="1"/>
  <c r="D24" i="1"/>
  <c r="D23" i="1"/>
  <c r="E22" i="1"/>
  <c r="D22" i="1"/>
  <c r="F22" i="1" s="1"/>
  <c r="G22" i="1" s="1"/>
  <c r="D21" i="1"/>
  <c r="D20" i="1"/>
  <c r="E20" i="1" s="1"/>
  <c r="E19" i="1"/>
  <c r="D19" i="1"/>
  <c r="F19" i="1" s="1"/>
  <c r="G19" i="1" s="1"/>
  <c r="D18" i="1"/>
  <c r="D17" i="1"/>
  <c r="E17" i="1" s="1"/>
  <c r="E16" i="1"/>
  <c r="D16" i="1"/>
  <c r="F16" i="1" s="1"/>
  <c r="G16" i="1" s="1"/>
  <c r="D15" i="1"/>
  <c r="D14" i="1"/>
  <c r="E13" i="1"/>
  <c r="D13" i="1"/>
  <c r="F13" i="1" s="1"/>
  <c r="G13" i="1" s="1"/>
  <c r="D12" i="1"/>
  <c r="D11" i="1"/>
  <c r="E10" i="1"/>
  <c r="D10" i="1"/>
  <c r="F10" i="1" s="1"/>
  <c r="G10" i="1" s="1"/>
  <c r="D9" i="1"/>
  <c r="D8" i="1"/>
  <c r="E7" i="1"/>
  <c r="D7" i="1"/>
  <c r="F7" i="1" s="1"/>
  <c r="G7" i="1" s="1"/>
  <c r="D6" i="1"/>
  <c r="J5" i="1"/>
  <c r="E5" i="1"/>
  <c r="F5" i="1" s="1"/>
  <c r="G5" i="1" s="1"/>
  <c r="D5" i="1"/>
  <c r="J4" i="1"/>
  <c r="E4" i="1"/>
  <c r="F4" i="1" s="1"/>
  <c r="G4" i="1" s="1"/>
  <c r="D4" i="1"/>
  <c r="J3" i="1"/>
  <c r="D3" i="1"/>
  <c r="J2" i="1"/>
  <c r="E2" i="1"/>
  <c r="D2" i="1"/>
  <c r="F2" i="1" s="1"/>
  <c r="G2" i="1" s="1"/>
  <c r="F8" i="1" l="1"/>
  <c r="G8" i="1" s="1"/>
  <c r="F11" i="1"/>
  <c r="G11" i="1" s="1"/>
  <c r="F23" i="1"/>
  <c r="G23" i="1" s="1"/>
  <c r="F21" i="1"/>
  <c r="G21" i="1" s="1"/>
  <c r="F14" i="1"/>
  <c r="G14" i="1" s="1"/>
  <c r="E8" i="1"/>
  <c r="E11" i="1"/>
  <c r="E14" i="1"/>
  <c r="E23" i="1"/>
  <c r="E3" i="1"/>
  <c r="F3" i="1" s="1"/>
  <c r="G3" i="1" s="1"/>
  <c r="F17" i="1"/>
  <c r="G17" i="1" s="1"/>
  <c r="F20" i="1"/>
  <c r="G20" i="1" s="1"/>
  <c r="E6" i="1"/>
  <c r="F6" i="1" s="1"/>
  <c r="G6" i="1" s="1"/>
  <c r="E9" i="1"/>
  <c r="F9" i="1" s="1"/>
  <c r="G9" i="1" s="1"/>
  <c r="E12" i="1"/>
  <c r="F12" i="1" s="1"/>
  <c r="G12" i="1" s="1"/>
  <c r="E15" i="1"/>
  <c r="F15" i="1" s="1"/>
  <c r="G15" i="1" s="1"/>
  <c r="E18" i="1"/>
  <c r="F18" i="1" s="1"/>
  <c r="G18" i="1" s="1"/>
  <c r="E21" i="1"/>
  <c r="E24" i="1"/>
  <c r="F24" i="1" s="1"/>
  <c r="G24" i="1" s="1"/>
</calcChain>
</file>

<file path=xl/sharedStrings.xml><?xml version="1.0" encoding="utf-8"?>
<sst xmlns="http://schemas.openxmlformats.org/spreadsheetml/2006/main" count="36" uniqueCount="16">
  <si>
    <t>Region</t>
  </si>
  <si>
    <t>Units</t>
  </si>
  <si>
    <t>Unit Price</t>
  </si>
  <si>
    <t>Revenue</t>
  </si>
  <si>
    <t>Discount</t>
  </si>
  <si>
    <t>Net Revenue</t>
  </si>
  <si>
    <t>Commission</t>
  </si>
  <si>
    <t>Conditional Calculations</t>
  </si>
  <si>
    <t>North</t>
  </si>
  <si>
    <t>North Revenue</t>
  </si>
  <si>
    <t>West</t>
  </si>
  <si>
    <t>West Revenue</t>
  </si>
  <si>
    <t>South</t>
  </si>
  <si>
    <t>High-Value Transactions</t>
  </si>
  <si>
    <t>East</t>
  </si>
  <si>
    <t>Average North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</si>
</sst>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"/>
  </numFmts>
  <fonts count="4" x14ac:knownFonts="1">
    <font>
      <sz val="11"/>
      <color theme="1"/>
      <name val="Calibri"/>
      <family val="2"/>
      <charset val="1"/>
    </font>
    <font>
      <b/>
      <sz val="11"/>
      <color rgb="FFFFFFFF"/>
      <name val="Cambria"/>
      <charset val="1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theme="5"/>
      </patternFill>
    </fill>
    <fill>
      <patternFill patternType="solid">
        <fgColor rgb="FF002060"/>
        <bgColor indexed="64"/>
      </patternFill>
    </fill>
  </fills>
  <borders count="10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/>
      <top style="thin">
        <color rgb="FFB7B7B7"/>
      </top>
      <bottom/>
      <diagonal/>
    </border>
  </borders>
  <cellStyleXfs count="2">
    <xf numFmtId="0" fontId="0" fillId="0" borderId="0"/>
    <xf numFmtId="0" fontId="2" fillId="3" borderId="0" applyNumberFormat="0" applyBorder="0" applyAlignment="0" applyProtection="0"/>
  </cellStyleXfs>
  <cellXfs count="16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0" fontId="0" fillId="0" borderId="2" xfId="0" applyBorder="1" applyAlignment="1">
      <alignment vertical="center"/>
    </xf>
    <xf numFmtId="164" fontId="0" fillId="0" borderId="3" xfId="0" applyNumberFormat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164" fontId="0" fillId="0" borderId="8" xfId="0" applyNumberFormat="1" applyBorder="1" applyAlignment="1">
      <alignment vertical="center"/>
    </xf>
    <xf numFmtId="9" fontId="0" fillId="0" borderId="8" xfId="0" applyNumberFormat="1" applyBorder="1" applyAlignment="1">
      <alignment vertical="center"/>
    </xf>
    <xf numFmtId="164" fontId="0" fillId="0" borderId="9" xfId="0" applyNumberFormat="1" applyBorder="1" applyAlignment="1">
      <alignment vertical="center"/>
    </xf>
    <xf numFmtId="0" fontId="2" fillId="3" borderId="0" xfId="1"/>
    <xf numFmtId="0" fontId="3" fillId="4" borderId="0" xfId="1" applyFont="1" applyFill="1"/>
  </cellXfs>
  <cellStyles count="2">
    <cellStyle name="Accent2" xfId="1" builtinId="33"/>
    <cellStyle name="Normal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mbria"/>
        <charset val="1"/>
        <scheme val="none"/>
      </font>
      <fill>
        <patternFill patternType="solid">
          <fgColor rgb="FF003366"/>
          <bgColor rgb="FF1F4E78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/>
        <bottom/>
      </border>
    </dxf>
    <dxf>
      <alignment horizontal="general" vertical="center" textRotation="0" wrapText="0" indent="0" justifyLastLine="0" shrinkToFit="0" readingOrder="0"/>
    </dxf>
    <dxf>
      <numFmt numFmtId="164" formatCode="\₹#,##0"/>
      <alignment horizontal="general" vertical="center" textRotation="0" wrapText="0" indent="0" justifyLastLine="0" shrinkToFit="0" readingOrder="0"/>
      <border diagonalUp="0" diagonalDown="0"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numFmt numFmtId="164" formatCode="\₹#,##0"/>
      <alignment horizontal="general" vertical="center" textRotation="0" wrapText="0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13" formatCode="0%"/>
      <alignment horizontal="general" vertical="center" textRotation="0" wrapText="0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164" formatCode="\₹#,##0"/>
      <alignment horizontal="general" vertical="center" textRotation="0" wrapText="0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164" formatCode="\₹#,##0"/>
      <alignment horizontal="general" vertical="center" textRotation="0" wrapText="0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FC108E-53F8-44C9-BF6C-1559BB1D7FF2}" name="Table1" displayName="Table1" ref="A1:G25" totalsRowShown="0" headerRowDxfId="0" dataDxfId="1" headerRowBorderDxfId="10" tableBorderDxfId="11" totalsRowBorderDxfId="9">
  <autoFilter ref="A1:G25" xr:uid="{61FC108E-53F8-44C9-BF6C-1559BB1D7FF2}"/>
  <tableColumns count="7">
    <tableColumn id="1" xr3:uid="{6ADFAF36-72A8-4FA0-8008-58B32506F810}" name="Region" dataDxfId="8"/>
    <tableColumn id="2" xr3:uid="{E92AE686-7081-442D-B9D9-B3F42E896B5B}" name="Units" dataDxfId="7"/>
    <tableColumn id="3" xr3:uid="{1519A26F-C84E-41A4-B23A-41997201B6DD}" name="Unit Price" dataDxfId="6"/>
    <tableColumn id="4" xr3:uid="{E238242A-D800-44D9-B1C2-42656FBCD414}" name="Revenue" dataDxfId="5">
      <calculatedColumnFormula>B2*C2</calculatedColumnFormula>
    </tableColumn>
    <tableColumn id="5" xr3:uid="{719932C5-0235-41B3-82B0-49B619D3BE15}" name="Discount" dataDxfId="4">
      <calculatedColumnFormula>IF(D2&gt;=100000,10%,IF(D2&gt;=50000,5%,2%))</calculatedColumnFormula>
    </tableColumn>
    <tableColumn id="6" xr3:uid="{8A830679-86AA-4FAC-BD91-B1D92A0C4BAB}" name="Net Revenue" dataDxfId="3">
      <calculatedColumnFormula>D2*(1-E2)</calculatedColumnFormula>
    </tableColumn>
    <tableColumn id="7" xr3:uid="{C5B50F9C-570A-42E8-B968-F96D49D28713}" name="Commission" dataDxfId="2">
      <calculatedColumnFormula>F2*3%</calculatedColumnFormula>
    </tableColumn>
  </tableColumns>
  <tableStyleInfo name="TableStyleDark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tabSelected="1" zoomScaleNormal="100" workbookViewId="0">
      <selection activeCell="I1" sqref="I1"/>
    </sheetView>
  </sheetViews>
  <sheetFormatPr defaultColWidth="8.6640625" defaultRowHeight="15" customHeight="1" x14ac:dyDescent="0.3"/>
  <cols>
    <col min="1" max="2" width="10" customWidth="1"/>
    <col min="3" max="3" width="12.109375" customWidth="1"/>
    <col min="4" max="4" width="11.109375" customWidth="1"/>
    <col min="5" max="5" width="30" customWidth="1"/>
    <col min="6" max="6" width="14.77734375" customWidth="1"/>
    <col min="7" max="7" width="14.109375" customWidth="1"/>
    <col min="8" max="8" width="10" customWidth="1"/>
    <col min="9" max="9" width="26" customWidth="1"/>
    <col min="10" max="10" width="30" customWidth="1"/>
  </cols>
  <sheetData>
    <row r="1" spans="1:10" x14ac:dyDescent="0.3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8" t="s">
        <v>6</v>
      </c>
      <c r="I1" s="15" t="s">
        <v>7</v>
      </c>
      <c r="J1" s="14"/>
    </row>
    <row r="2" spans="1:10" x14ac:dyDescent="0.3">
      <c r="A2" s="4" t="s">
        <v>8</v>
      </c>
      <c r="B2" s="1">
        <v>2</v>
      </c>
      <c r="C2" s="2">
        <v>65000</v>
      </c>
      <c r="D2" s="2">
        <f t="shared" ref="D2:D25" si="0">B2*C2</f>
        <v>130000</v>
      </c>
      <c r="E2" s="3">
        <f t="shared" ref="E2:E25" si="1">IF(D2&gt;=100000,10%,IF(D2&gt;=50000,5%,2%))</f>
        <v>0.1</v>
      </c>
      <c r="F2" s="2">
        <f t="shared" ref="F2:F25" si="2">D2*(1-E2)</f>
        <v>117000</v>
      </c>
      <c r="G2" s="5">
        <f t="shared" ref="G2:G25" si="3">F2*3%</f>
        <v>3510</v>
      </c>
      <c r="I2" s="14" t="s">
        <v>9</v>
      </c>
      <c r="J2" s="14">
        <f>SUMIF(A2:A25,"North",D2:D25)</f>
        <v>516500</v>
      </c>
    </row>
    <row r="3" spans="1:10" x14ac:dyDescent="0.3">
      <c r="A3" s="4" t="s">
        <v>10</v>
      </c>
      <c r="B3" s="1">
        <v>10</v>
      </c>
      <c r="C3" s="2">
        <v>2500</v>
      </c>
      <c r="D3" s="2">
        <f t="shared" si="0"/>
        <v>25000</v>
      </c>
      <c r="E3" s="3">
        <f t="shared" si="1"/>
        <v>0.02</v>
      </c>
      <c r="F3" s="2">
        <f t="shared" si="2"/>
        <v>24500</v>
      </c>
      <c r="G3" s="5">
        <f t="shared" si="3"/>
        <v>735</v>
      </c>
      <c r="I3" s="14" t="s">
        <v>11</v>
      </c>
      <c r="J3" s="14">
        <f>SUMIF(A2:A25,"West",D2:D25)</f>
        <v>593000</v>
      </c>
    </row>
    <row r="4" spans="1:10" x14ac:dyDescent="0.3">
      <c r="A4" s="4" t="s">
        <v>12</v>
      </c>
      <c r="B4" s="1">
        <v>4</v>
      </c>
      <c r="C4" s="2">
        <v>12000</v>
      </c>
      <c r="D4" s="2">
        <f t="shared" si="0"/>
        <v>48000</v>
      </c>
      <c r="E4" s="3">
        <f t="shared" si="1"/>
        <v>0.02</v>
      </c>
      <c r="F4" s="2">
        <f t="shared" si="2"/>
        <v>47040</v>
      </c>
      <c r="G4" s="5">
        <f t="shared" si="3"/>
        <v>1411.2</v>
      </c>
      <c r="I4" s="14" t="s">
        <v>13</v>
      </c>
      <c r="J4" s="14">
        <f>COUNTIF(D2:D25,"&gt;=50000")</f>
        <v>18</v>
      </c>
    </row>
    <row r="5" spans="1:10" x14ac:dyDescent="0.3">
      <c r="A5" s="4" t="s">
        <v>14</v>
      </c>
      <c r="B5" s="1">
        <v>8</v>
      </c>
      <c r="C5" s="2">
        <v>18000</v>
      </c>
      <c r="D5" s="2">
        <f t="shared" si="0"/>
        <v>144000</v>
      </c>
      <c r="E5" s="3">
        <f t="shared" si="1"/>
        <v>0.1</v>
      </c>
      <c r="F5" s="2">
        <f t="shared" si="2"/>
        <v>129600</v>
      </c>
      <c r="G5" s="5">
        <f t="shared" si="3"/>
        <v>3888</v>
      </c>
      <c r="I5" s="14" t="s">
        <v>15</v>
      </c>
      <c r="J5" s="14">
        <f>AVERAGEIF(A2:A25,"North",D2:D25)</f>
        <v>86083.333333333328</v>
      </c>
    </row>
    <row r="6" spans="1:10" x14ac:dyDescent="0.3">
      <c r="A6" s="4" t="s">
        <v>8</v>
      </c>
      <c r="B6" s="1">
        <v>15</v>
      </c>
      <c r="C6" s="2">
        <v>1500</v>
      </c>
      <c r="D6" s="2">
        <f t="shared" si="0"/>
        <v>22500</v>
      </c>
      <c r="E6" s="3">
        <f t="shared" si="1"/>
        <v>0.02</v>
      </c>
      <c r="F6" s="2">
        <f t="shared" si="2"/>
        <v>22050</v>
      </c>
      <c r="G6" s="5">
        <f t="shared" si="3"/>
        <v>661.5</v>
      </c>
    </row>
    <row r="7" spans="1:10" x14ac:dyDescent="0.3">
      <c r="A7" s="4" t="s">
        <v>10</v>
      </c>
      <c r="B7" s="1">
        <v>5</v>
      </c>
      <c r="C7" s="2">
        <v>9000</v>
      </c>
      <c r="D7" s="2">
        <f t="shared" si="0"/>
        <v>45000</v>
      </c>
      <c r="E7" s="3">
        <f t="shared" si="1"/>
        <v>0.02</v>
      </c>
      <c r="F7" s="2">
        <f t="shared" si="2"/>
        <v>44100</v>
      </c>
      <c r="G7" s="5">
        <f t="shared" si="3"/>
        <v>1323</v>
      </c>
    </row>
    <row r="8" spans="1:10" x14ac:dyDescent="0.3">
      <c r="A8" s="4" t="s">
        <v>12</v>
      </c>
      <c r="B8" s="1">
        <v>12</v>
      </c>
      <c r="C8" s="2">
        <v>3500</v>
      </c>
      <c r="D8" s="2">
        <f t="shared" si="0"/>
        <v>42000</v>
      </c>
      <c r="E8" s="3">
        <f t="shared" si="1"/>
        <v>0.02</v>
      </c>
      <c r="F8" s="2">
        <f t="shared" si="2"/>
        <v>41160</v>
      </c>
      <c r="G8" s="5">
        <f t="shared" si="3"/>
        <v>1234.8</v>
      </c>
    </row>
    <row r="9" spans="1:10" x14ac:dyDescent="0.3">
      <c r="A9" s="4" t="s">
        <v>14</v>
      </c>
      <c r="B9" s="1">
        <v>3</v>
      </c>
      <c r="C9" s="2">
        <v>22000</v>
      </c>
      <c r="D9" s="2">
        <f t="shared" si="0"/>
        <v>66000</v>
      </c>
      <c r="E9" s="3">
        <f t="shared" si="1"/>
        <v>0.05</v>
      </c>
      <c r="F9" s="2">
        <f t="shared" si="2"/>
        <v>62700</v>
      </c>
      <c r="G9" s="5">
        <f t="shared" si="3"/>
        <v>1881</v>
      </c>
    </row>
    <row r="10" spans="1:10" x14ac:dyDescent="0.3">
      <c r="A10" s="4" t="s">
        <v>8</v>
      </c>
      <c r="B10" s="1">
        <v>7</v>
      </c>
      <c r="C10" s="2">
        <v>18000</v>
      </c>
      <c r="D10" s="2">
        <f t="shared" si="0"/>
        <v>126000</v>
      </c>
      <c r="E10" s="3">
        <f t="shared" si="1"/>
        <v>0.1</v>
      </c>
      <c r="F10" s="2">
        <f t="shared" si="2"/>
        <v>113400</v>
      </c>
      <c r="G10" s="5">
        <f t="shared" si="3"/>
        <v>3402</v>
      </c>
    </row>
    <row r="11" spans="1:10" x14ac:dyDescent="0.3">
      <c r="A11" s="4" t="s">
        <v>10</v>
      </c>
      <c r="B11" s="1">
        <v>3</v>
      </c>
      <c r="C11" s="2">
        <v>65000</v>
      </c>
      <c r="D11" s="2">
        <f t="shared" si="0"/>
        <v>195000</v>
      </c>
      <c r="E11" s="3">
        <f t="shared" si="1"/>
        <v>0.1</v>
      </c>
      <c r="F11" s="2">
        <f t="shared" si="2"/>
        <v>175500</v>
      </c>
      <c r="G11" s="5">
        <f t="shared" si="3"/>
        <v>5265</v>
      </c>
    </row>
    <row r="12" spans="1:10" x14ac:dyDescent="0.3">
      <c r="A12" s="4" t="s">
        <v>12</v>
      </c>
      <c r="B12" s="1">
        <v>20</v>
      </c>
      <c r="C12" s="2">
        <v>2500</v>
      </c>
      <c r="D12" s="2">
        <f t="shared" si="0"/>
        <v>50000</v>
      </c>
      <c r="E12" s="3">
        <f t="shared" si="1"/>
        <v>0.05</v>
      </c>
      <c r="F12" s="2">
        <f t="shared" si="2"/>
        <v>47500</v>
      </c>
      <c r="G12" s="5">
        <f t="shared" si="3"/>
        <v>1425</v>
      </c>
    </row>
    <row r="13" spans="1:10" x14ac:dyDescent="0.3">
      <c r="A13" s="4" t="s">
        <v>14</v>
      </c>
      <c r="B13" s="1">
        <v>6</v>
      </c>
      <c r="C13" s="2">
        <v>12000</v>
      </c>
      <c r="D13" s="2">
        <f t="shared" si="0"/>
        <v>72000</v>
      </c>
      <c r="E13" s="3">
        <f t="shared" si="1"/>
        <v>0.05</v>
      </c>
      <c r="F13" s="2">
        <f t="shared" si="2"/>
        <v>68400</v>
      </c>
      <c r="G13" s="5">
        <f t="shared" si="3"/>
        <v>2052</v>
      </c>
    </row>
    <row r="14" spans="1:10" x14ac:dyDescent="0.3">
      <c r="A14" s="4" t="s">
        <v>8</v>
      </c>
      <c r="B14" s="1">
        <v>7</v>
      </c>
      <c r="C14" s="2">
        <v>9000</v>
      </c>
      <c r="D14" s="2">
        <f t="shared" si="0"/>
        <v>63000</v>
      </c>
      <c r="E14" s="3">
        <f t="shared" si="1"/>
        <v>0.05</v>
      </c>
      <c r="F14" s="2">
        <f t="shared" si="2"/>
        <v>59850</v>
      </c>
      <c r="G14" s="5">
        <f t="shared" si="3"/>
        <v>1795.5</v>
      </c>
    </row>
    <row r="15" spans="1:10" x14ac:dyDescent="0.3">
      <c r="A15" s="4" t="s">
        <v>10</v>
      </c>
      <c r="B15" s="1">
        <v>4</v>
      </c>
      <c r="C15" s="2">
        <v>22000</v>
      </c>
      <c r="D15" s="2">
        <f t="shared" si="0"/>
        <v>88000</v>
      </c>
      <c r="E15" s="3">
        <f t="shared" si="1"/>
        <v>0.05</v>
      </c>
      <c r="F15" s="2">
        <f t="shared" si="2"/>
        <v>83600</v>
      </c>
      <c r="G15" s="5">
        <f t="shared" si="3"/>
        <v>2508</v>
      </c>
    </row>
    <row r="16" spans="1:10" x14ac:dyDescent="0.3">
      <c r="A16" s="4" t="s">
        <v>12</v>
      </c>
      <c r="B16" s="1">
        <v>25</v>
      </c>
      <c r="C16" s="2">
        <v>1500</v>
      </c>
      <c r="D16" s="2">
        <f t="shared" si="0"/>
        <v>37500</v>
      </c>
      <c r="E16" s="3">
        <f t="shared" si="1"/>
        <v>0.02</v>
      </c>
      <c r="F16" s="2">
        <f t="shared" si="2"/>
        <v>36750</v>
      </c>
      <c r="G16" s="5">
        <f t="shared" si="3"/>
        <v>1102.5</v>
      </c>
    </row>
    <row r="17" spans="1:7" x14ac:dyDescent="0.3">
      <c r="A17" s="4" t="s">
        <v>14</v>
      </c>
      <c r="B17" s="1">
        <v>15</v>
      </c>
      <c r="C17" s="2">
        <v>3500</v>
      </c>
      <c r="D17" s="2">
        <f t="shared" si="0"/>
        <v>52500</v>
      </c>
      <c r="E17" s="3">
        <f t="shared" si="1"/>
        <v>0.05</v>
      </c>
      <c r="F17" s="2">
        <f t="shared" si="2"/>
        <v>49875</v>
      </c>
      <c r="G17" s="5">
        <f t="shared" si="3"/>
        <v>1496.25</v>
      </c>
    </row>
    <row r="18" spans="1:7" x14ac:dyDescent="0.3">
      <c r="A18" s="4" t="s">
        <v>8</v>
      </c>
      <c r="B18" s="1">
        <v>1</v>
      </c>
      <c r="C18" s="2">
        <v>65000</v>
      </c>
      <c r="D18" s="2">
        <f t="shared" si="0"/>
        <v>65000</v>
      </c>
      <c r="E18" s="3">
        <f t="shared" si="1"/>
        <v>0.05</v>
      </c>
      <c r="F18" s="2">
        <f t="shared" si="2"/>
        <v>61750</v>
      </c>
      <c r="G18" s="5">
        <f t="shared" si="3"/>
        <v>1852.5</v>
      </c>
    </row>
    <row r="19" spans="1:7" x14ac:dyDescent="0.3">
      <c r="A19" s="4" t="s">
        <v>10</v>
      </c>
      <c r="B19" s="1">
        <v>10</v>
      </c>
      <c r="C19" s="2">
        <v>18000</v>
      </c>
      <c r="D19" s="2">
        <f t="shared" si="0"/>
        <v>180000</v>
      </c>
      <c r="E19" s="3">
        <f t="shared" si="1"/>
        <v>0.1</v>
      </c>
      <c r="F19" s="2">
        <f t="shared" si="2"/>
        <v>162000</v>
      </c>
      <c r="G19" s="5">
        <f t="shared" si="3"/>
        <v>4860</v>
      </c>
    </row>
    <row r="20" spans="1:7" x14ac:dyDescent="0.3">
      <c r="A20" s="4" t="s">
        <v>12</v>
      </c>
      <c r="B20" s="1">
        <v>8</v>
      </c>
      <c r="C20" s="2">
        <v>9000</v>
      </c>
      <c r="D20" s="2">
        <f t="shared" si="0"/>
        <v>72000</v>
      </c>
      <c r="E20" s="3">
        <f t="shared" si="1"/>
        <v>0.05</v>
      </c>
      <c r="F20" s="2">
        <f t="shared" si="2"/>
        <v>68400</v>
      </c>
      <c r="G20" s="5">
        <f t="shared" si="3"/>
        <v>2052</v>
      </c>
    </row>
    <row r="21" spans="1:7" x14ac:dyDescent="0.3">
      <c r="A21" s="4" t="s">
        <v>14</v>
      </c>
      <c r="B21" s="1">
        <v>30</v>
      </c>
      <c r="C21" s="2">
        <v>2500</v>
      </c>
      <c r="D21" s="2">
        <f t="shared" si="0"/>
        <v>75000</v>
      </c>
      <c r="E21" s="3">
        <f t="shared" si="1"/>
        <v>0.05</v>
      </c>
      <c r="F21" s="2">
        <f t="shared" si="2"/>
        <v>71250</v>
      </c>
      <c r="G21" s="5">
        <f t="shared" si="3"/>
        <v>2137.5</v>
      </c>
    </row>
    <row r="22" spans="1:7" x14ac:dyDescent="0.3">
      <c r="A22" s="4" t="s">
        <v>8</v>
      </c>
      <c r="B22" s="1">
        <v>5</v>
      </c>
      <c r="C22" s="2">
        <v>22000</v>
      </c>
      <c r="D22" s="2">
        <f t="shared" si="0"/>
        <v>110000</v>
      </c>
      <c r="E22" s="3">
        <f t="shared" si="1"/>
        <v>0.1</v>
      </c>
      <c r="F22" s="2">
        <f t="shared" si="2"/>
        <v>99000</v>
      </c>
      <c r="G22" s="5">
        <f t="shared" si="3"/>
        <v>2970</v>
      </c>
    </row>
    <row r="23" spans="1:7" x14ac:dyDescent="0.3">
      <c r="A23" s="4" t="s">
        <v>10</v>
      </c>
      <c r="B23" s="1">
        <v>40</v>
      </c>
      <c r="C23" s="2">
        <v>1500</v>
      </c>
      <c r="D23" s="2">
        <f t="shared" si="0"/>
        <v>60000</v>
      </c>
      <c r="E23" s="3">
        <f t="shared" si="1"/>
        <v>0.05</v>
      </c>
      <c r="F23" s="2">
        <f t="shared" si="2"/>
        <v>57000</v>
      </c>
      <c r="G23" s="5">
        <f t="shared" si="3"/>
        <v>1710</v>
      </c>
    </row>
    <row r="24" spans="1:7" x14ac:dyDescent="0.3">
      <c r="A24" s="4" t="s">
        <v>12</v>
      </c>
      <c r="B24" s="1">
        <v>5</v>
      </c>
      <c r="C24" s="2">
        <v>12000</v>
      </c>
      <c r="D24" s="2">
        <f t="shared" si="0"/>
        <v>60000</v>
      </c>
      <c r="E24" s="3">
        <f t="shared" si="1"/>
        <v>0.05</v>
      </c>
      <c r="F24" s="2">
        <f t="shared" si="2"/>
        <v>57000</v>
      </c>
      <c r="G24" s="5">
        <f t="shared" si="3"/>
        <v>1710</v>
      </c>
    </row>
    <row r="25" spans="1:7" x14ac:dyDescent="0.3">
      <c r="A25" s="9" t="s">
        <v>14</v>
      </c>
      <c r="B25" s="10">
        <v>2</v>
      </c>
      <c r="C25" s="11">
        <v>65000</v>
      </c>
      <c r="D25" s="11">
        <f t="shared" si="0"/>
        <v>130000</v>
      </c>
      <c r="E25" s="12">
        <f t="shared" si="1"/>
        <v>0.1</v>
      </c>
      <c r="F25" s="11">
        <f t="shared" si="2"/>
        <v>117000</v>
      </c>
      <c r="G25" s="13">
        <f t="shared" si="3"/>
        <v>3510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Conditional Calculation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Bhoopendra Kumar</cp:lastModifiedBy>
  <dcterms:modified xsi:type="dcterms:W3CDTF">2026-09-30T03:53:05Z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2026-09-21T17:43:35Z</dcterms:created>
  <dc:creator>openpyxl</dc:creator>
  <dc:description/>
  <dc:language>en-US</dc:language>
  <cp:lastModifiedBy/>
  <dcterms:modified xsi:type="dcterms:W3CDTF">2026-09-21T17:43:35Z</dcterms:modified>
  <cp:revision>0</cp:revision>
  <dc:subject/>
  <dc:title/>
</cp:coreProperties>
</file>