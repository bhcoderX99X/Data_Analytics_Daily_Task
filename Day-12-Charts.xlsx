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itv\AppData\Local\Packages\5319275A.WhatsAppDesktop_cv1g1gvanyjgm\LocalState\sessions\DACADAF45A9E0656035E48F5D25435CF3D445624\transfers\2026-39\"/>
    </mc:Choice>
  </mc:AlternateContent>
  <xr:revisionPtr revIDLastSave="0" documentId="13_ncr:1_{556566B0-A44F-4E44-B7E0-99E95400ED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  <sheet name="Pivot Table" sheetId="2" r:id="rId2"/>
    <sheet name="Chart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2" l="1"/>
  <c r="C8" i="2" s="1"/>
  <c r="C6" i="2"/>
  <c r="B6" i="2"/>
  <c r="D6" i="2" s="1"/>
  <c r="G5" i="2"/>
  <c r="C5" i="2"/>
  <c r="G4" i="2"/>
  <c r="C4" i="2"/>
  <c r="C3" i="2"/>
  <c r="C2" i="2"/>
  <c r="F25" i="1"/>
  <c r="F24" i="1"/>
  <c r="F23" i="1"/>
  <c r="F22" i="1"/>
  <c r="B7" i="2" s="1"/>
  <c r="D7" i="2" s="1"/>
  <c r="F21" i="1"/>
  <c r="F20" i="1"/>
  <c r="F19" i="1"/>
  <c r="F18" i="1"/>
  <c r="F17" i="1"/>
  <c r="F16" i="1"/>
  <c r="F15" i="1"/>
  <c r="F14" i="1"/>
  <c r="B5" i="2" s="1"/>
  <c r="D5" i="2" s="1"/>
  <c r="F13" i="1"/>
  <c r="F12" i="1"/>
  <c r="F11" i="1"/>
  <c r="F10" i="1"/>
  <c r="B4" i="2" s="1"/>
  <c r="D4" i="2" s="1"/>
  <c r="F9" i="1"/>
  <c r="F8" i="1"/>
  <c r="F7" i="1"/>
  <c r="F6" i="1"/>
  <c r="B3" i="2" s="1"/>
  <c r="D3" i="2" s="1"/>
  <c r="F5" i="1"/>
  <c r="F4" i="1"/>
  <c r="F3" i="1"/>
  <c r="G3" i="2" s="1"/>
  <c r="F2" i="1"/>
  <c r="B2" i="2" s="1"/>
  <c r="B8" i="2" l="1"/>
  <c r="D2" i="2"/>
  <c r="D8" i="2" s="1"/>
  <c r="G2" i="2"/>
</calcChain>
</file>

<file path=xl/sharedStrings.xml><?xml version="1.0" encoding="utf-8"?>
<sst xmlns="http://schemas.openxmlformats.org/spreadsheetml/2006/main" count="96" uniqueCount="29">
  <si>
    <t>Date</t>
  </si>
  <si>
    <t>Month</t>
  </si>
  <si>
    <t>Region</t>
  </si>
  <si>
    <t>Product ID</t>
  </si>
  <si>
    <t>Units</t>
  </si>
  <si>
    <t>Revenue</t>
  </si>
  <si>
    <t>Jan</t>
  </si>
  <si>
    <t>North</t>
  </si>
  <si>
    <t>P001</t>
  </si>
  <si>
    <t>West</t>
  </si>
  <si>
    <t>P003</t>
  </si>
  <si>
    <t>South</t>
  </si>
  <si>
    <t>P005</t>
  </si>
  <si>
    <t>East</t>
  </si>
  <si>
    <t>P002</t>
  </si>
  <si>
    <t>Feb</t>
  </si>
  <si>
    <t>P004</t>
  </si>
  <si>
    <t>P006</t>
  </si>
  <si>
    <t>P007</t>
  </si>
  <si>
    <t>P008</t>
  </si>
  <si>
    <t>Mar</t>
  </si>
  <si>
    <t>Apr</t>
  </si>
  <si>
    <t>May</t>
  </si>
  <si>
    <t>Jun</t>
  </si>
  <si>
    <t>Total Revenue</t>
  </si>
  <si>
    <t>Total Units</t>
  </si>
  <si>
    <t>Total Profit</t>
  </si>
  <si>
    <t>Grand Total</t>
  </si>
  <si>
    <t>Charts — Created from Pivot Table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</si>
</sst>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6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Table'!$A$2</c:f>
              <c:strCache>
                <c:ptCount val="1"/>
                <c:pt idx="0">
                  <c:v>Jan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Table'!$B$1</c:f>
              <c:strCache>
                <c:ptCount val="1"/>
                <c:pt idx="0">
                  <c:v>Total Revenue</c:v>
                </c:pt>
              </c:strCache>
            </c:strRef>
          </c:cat>
          <c:val>
            <c:numRef>
              <c:f>'Pivot Table'!$B$2</c:f>
              <c:numCache>
                <c:formatCode>\₹#,##0</c:formatCode>
                <c:ptCount val="1"/>
                <c:pt idx="0">
                  <c:v>347000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E-4BB6-85DB-EFF3A6844AFD}"/>
            </c:ext>
          </c:extLst>
        </c:ser>
        <c:ser>
          <c:idx val="1"/>
          <c:order val="1"/>
          <c:tx>
            <c:strRef>
              <c:f>'Pivot Table'!$A$3</c:f>
              <c:strCache>
                <c:ptCount val="1"/>
                <c:pt idx="0">
                  <c:v>Feb</c:v>
                </c:pt>
              </c:strCache>
            </c:strRef>
          </c:tx>
          <c:spPr>
            <a:gradFill>
              <a:gsLst>
                <a:gs pos="0">
                  <a:schemeClr val="accent2">
                    <a:shade val="51000"/>
                  </a:schemeClr>
                </a:gs>
                <a:gs pos="80000">
                  <a:schemeClr val="accent2">
                    <a:shade val="93000"/>
                  </a:schemeClr>
                </a:gs>
                <a:gs pos="100000">
                  <a:schemeClr val="accent2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'Pivot Table'!$B$1</c:f>
              <c:strCache>
                <c:ptCount val="1"/>
                <c:pt idx="0">
                  <c:v>Total Revenue</c:v>
                </c:pt>
              </c:strCache>
            </c:strRef>
          </c:cat>
          <c:val>
            <c:numRef>
              <c:f>'Pivot Table'!$B$3</c:f>
              <c:numCache>
                <c:formatCode>\₹#,##0</c:formatCode>
                <c:ptCount val="1"/>
                <c:pt idx="0">
                  <c:v>175500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FE-4BB6-85DB-EFF3A6844AFD}"/>
            </c:ext>
          </c:extLst>
        </c:ser>
        <c:ser>
          <c:idx val="2"/>
          <c:order val="2"/>
          <c:tx>
            <c:strRef>
              <c:f>'Pivot Table'!$A$4</c:f>
              <c:strCache>
                <c:ptCount val="1"/>
                <c:pt idx="0">
                  <c:v>Mar</c:v>
                </c:pt>
              </c:strCache>
            </c:strRef>
          </c:tx>
          <c:spPr>
            <a:gradFill>
              <a:gsLst>
                <a:gs pos="0">
                  <a:schemeClr val="accent3">
                    <a:shade val="51000"/>
                  </a:schemeClr>
                </a:gs>
                <a:gs pos="80000">
                  <a:schemeClr val="accent3">
                    <a:shade val="93000"/>
                  </a:schemeClr>
                </a:gs>
                <a:gs pos="100000">
                  <a:schemeClr val="accent3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'Pivot Table'!$B$1</c:f>
              <c:strCache>
                <c:ptCount val="1"/>
                <c:pt idx="0">
                  <c:v>Total Revenue</c:v>
                </c:pt>
              </c:strCache>
            </c:strRef>
          </c:cat>
          <c:val>
            <c:numRef>
              <c:f>'Pivot Table'!$B$4</c:f>
              <c:numCache>
                <c:formatCode>\₹#,##0</c:formatCode>
                <c:ptCount val="1"/>
                <c:pt idx="0">
                  <c:v>443000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FE-4BB6-85DB-EFF3A6844AFD}"/>
            </c:ext>
          </c:extLst>
        </c:ser>
        <c:ser>
          <c:idx val="3"/>
          <c:order val="3"/>
          <c:tx>
            <c:strRef>
              <c:f>'Pivot Table'!$A$5</c:f>
              <c:strCache>
                <c:ptCount val="1"/>
                <c:pt idx="0">
                  <c:v>Apr</c:v>
                </c:pt>
              </c:strCache>
            </c:strRef>
          </c:tx>
          <c:spPr>
            <a:gradFill>
              <a:gsLst>
                <a:gs pos="0">
                  <a:schemeClr val="accent4">
                    <a:shade val="51000"/>
                  </a:schemeClr>
                </a:gs>
                <a:gs pos="80000">
                  <a:schemeClr val="accent4">
                    <a:shade val="93000"/>
                  </a:schemeClr>
                </a:gs>
                <a:gs pos="100000">
                  <a:schemeClr val="accent4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'Pivot Table'!$B$1</c:f>
              <c:strCache>
                <c:ptCount val="1"/>
                <c:pt idx="0">
                  <c:v>Total Revenue</c:v>
                </c:pt>
              </c:strCache>
            </c:strRef>
          </c:cat>
          <c:val>
            <c:numRef>
              <c:f>'Pivot Table'!$B$5</c:f>
              <c:numCache>
                <c:formatCode>\₹#,##0</c:formatCode>
                <c:ptCount val="1"/>
                <c:pt idx="0">
                  <c:v>241000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FE-4BB6-85DB-EFF3A6844AFD}"/>
            </c:ext>
          </c:extLst>
        </c:ser>
        <c:ser>
          <c:idx val="4"/>
          <c:order val="4"/>
          <c:tx>
            <c:strRef>
              <c:f>'Pivot Table'!$A$6</c:f>
              <c:strCache>
                <c:ptCount val="1"/>
                <c:pt idx="0">
                  <c:v>May</c:v>
                </c:pt>
              </c:strCache>
            </c:strRef>
          </c:tx>
          <c:spPr>
            <a:gradFill>
              <a:gsLst>
                <a:gs pos="0">
                  <a:schemeClr val="accent5">
                    <a:shade val="51000"/>
                  </a:schemeClr>
                </a:gs>
                <a:gs pos="80000">
                  <a:schemeClr val="accent5">
                    <a:shade val="93000"/>
                  </a:schemeClr>
                </a:gs>
                <a:gs pos="100000">
                  <a:schemeClr val="accent5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'Pivot Table'!$B$1</c:f>
              <c:strCache>
                <c:ptCount val="1"/>
                <c:pt idx="0">
                  <c:v>Total Revenue</c:v>
                </c:pt>
              </c:strCache>
            </c:strRef>
          </c:cat>
          <c:val>
            <c:numRef>
              <c:f>'Pivot Table'!$B$6</c:f>
              <c:numCache>
                <c:formatCode>\₹#,##0</c:formatCode>
                <c:ptCount val="1"/>
                <c:pt idx="0">
                  <c:v>392000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FE-4BB6-85DB-EFF3A6844AFD}"/>
            </c:ext>
          </c:extLst>
        </c:ser>
        <c:ser>
          <c:idx val="5"/>
          <c:order val="5"/>
          <c:tx>
            <c:strRef>
              <c:f>'Pivot Table'!$A$7</c:f>
              <c:strCache>
                <c:ptCount val="1"/>
                <c:pt idx="0">
                  <c:v>Jun</c:v>
                </c:pt>
              </c:strCache>
            </c:strRef>
          </c:tx>
          <c:spPr>
            <a:gradFill>
              <a:gsLst>
                <a:gs pos="0">
                  <a:schemeClr val="accent6">
                    <a:shade val="51000"/>
                  </a:schemeClr>
                </a:gs>
                <a:gs pos="80000">
                  <a:schemeClr val="accent6">
                    <a:shade val="93000"/>
                  </a:schemeClr>
                </a:gs>
                <a:gs pos="100000">
                  <a:schemeClr val="accent6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'Pivot Table'!$B$1</c:f>
              <c:strCache>
                <c:ptCount val="1"/>
                <c:pt idx="0">
                  <c:v>Total Revenue</c:v>
                </c:pt>
              </c:strCache>
            </c:strRef>
          </c:cat>
          <c:val>
            <c:numRef>
              <c:f>'Pivot Table'!$B$7</c:f>
              <c:numCache>
                <c:formatCode>\₹#,##0</c:formatCode>
                <c:ptCount val="1"/>
                <c:pt idx="0">
                  <c:v>360000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8FE-4BB6-85DB-EFF3A6844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0712920"/>
        <c:axId val="23961557"/>
      </c:barChart>
      <c:catAx>
        <c:axId val="60712920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61557"/>
        <c:crosses val="autoZero"/>
        <c:auto val="1"/>
        <c:lblAlgn val="ctr"/>
        <c:lblOffset val="100"/>
        <c:noMultiLvlLbl val="0"/>
      </c:catAx>
      <c:valAx>
        <c:axId val="2396155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1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Units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'Pivot Table'!$C$1</c:f>
              <c:strCache>
                <c:ptCount val="1"/>
                <c:pt idx="0">
                  <c:v>Total Units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 Table'!$C$2:$C$7</c:f>
              <c:numCache>
                <c:formatCode>General</c:formatCode>
                <c:ptCount val="6"/>
                <c:pt idx="0">
                  <c:v>24</c:v>
                </c:pt>
                <c:pt idx="1">
                  <c:v>35</c:v>
                </c:pt>
                <c:pt idx="2">
                  <c:v>36</c:v>
                </c:pt>
                <c:pt idx="3">
                  <c:v>51</c:v>
                </c:pt>
                <c:pt idx="4">
                  <c:v>49</c:v>
                </c:pt>
                <c:pt idx="5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D68-42D3-88AD-2353A71D5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6078"/>
        <c:axId val="81318210"/>
        <c:axId val="765619215"/>
      </c:line3DChart>
      <c:catAx>
        <c:axId val="3106078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18210"/>
        <c:crosses val="autoZero"/>
        <c:auto val="1"/>
        <c:lblAlgn val="ctr"/>
        <c:lblOffset val="100"/>
        <c:noMultiLvlLbl val="0"/>
      </c:catAx>
      <c:valAx>
        <c:axId val="813182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6078"/>
        <c:crosses val="autoZero"/>
        <c:crossBetween val="between"/>
      </c:valAx>
      <c:serAx>
        <c:axId val="76561921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18210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Table'!$G$1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C10-43A4-B878-A85A0E6338D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C10-43A4-B878-A85A0E6338D8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C10-43A4-B878-A85A0E6338D8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C10-43A4-B878-A85A0E6338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Table'!$F$2:$F$5</c:f>
              <c:strCache>
                <c:ptCount val="4"/>
                <c:pt idx="0">
                  <c:v>North</c:v>
                </c:pt>
                <c:pt idx="1">
                  <c:v>West</c:v>
                </c:pt>
                <c:pt idx="2">
                  <c:v>South</c:v>
                </c:pt>
                <c:pt idx="3">
                  <c:v>East</c:v>
                </c:pt>
              </c:strCache>
            </c:strRef>
          </c:cat>
          <c:val>
            <c:numRef>
              <c:f>'Pivot Table'!$G$2:$G$5</c:f>
              <c:numCache>
                <c:formatCode>\₹#,##0</c:formatCode>
                <c:ptCount val="4"/>
                <c:pt idx="0">
                  <c:v>516500</c:v>
                </c:pt>
                <c:pt idx="1">
                  <c:v>593000</c:v>
                </c:pt>
                <c:pt idx="2">
                  <c:v>309500</c:v>
                </c:pt>
                <c:pt idx="3">
                  <c:v>539500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C10-43A4-B878-A85A0E633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130680</xdr:rowOff>
    </xdr:from>
    <xdr:to>
      <xdr:col>5</xdr:col>
      <xdr:colOff>479160</xdr:colOff>
      <xdr:row>16</xdr:row>
      <xdr:rowOff>153000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</xdr:row>
      <xdr:rowOff>130680</xdr:rowOff>
    </xdr:from>
    <xdr:to>
      <xdr:col>17</xdr:col>
      <xdr:colOff>147600</xdr:colOff>
      <xdr:row>16</xdr:row>
      <xdr:rowOff>153000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130680</xdr:rowOff>
    </xdr:from>
    <xdr:to>
      <xdr:col>5</xdr:col>
      <xdr:colOff>479160</xdr:colOff>
      <xdr:row>33</xdr:row>
      <xdr:rowOff>153000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artSalesData" displayName="ChartSalesData" ref="A1:F25" totalsRowShown="0">
  <autoFilter ref="A1:F25" xr:uid="{00000000-0009-0000-0100-000001000000}"/>
  <tableColumns count="6">
    <tableColumn id="1" xr3:uid="{00000000-0010-0000-0000-000001000000}" name="Date"/>
    <tableColumn id="2" xr3:uid="{00000000-0010-0000-0000-000002000000}" name="Month"/>
    <tableColumn id="3" xr3:uid="{00000000-0010-0000-0000-000003000000}" name="Region"/>
    <tableColumn id="4" xr3:uid="{00000000-0010-0000-0000-000004000000}" name="Product ID"/>
    <tableColumn id="5" xr3:uid="{00000000-0010-0000-0000-000005000000}" name="Units"/>
    <tableColumn id="6" xr3:uid="{00000000-0010-0000-0000-000006000000}" name="Reven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Normal="100" workbookViewId="0"/>
  </sheetViews>
  <sheetFormatPr defaultColWidth="8.6640625" defaultRowHeight="15" customHeight="1" x14ac:dyDescent="0.3"/>
  <cols>
    <col min="1" max="1" width="12" customWidth="1"/>
    <col min="2" max="3" width="10" customWidth="1"/>
    <col min="4" max="4" width="12" customWidth="1"/>
    <col min="5" max="5" width="10" customWidth="1"/>
    <col min="6" max="6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46027</v>
      </c>
      <c r="B2" s="3" t="s">
        <v>6</v>
      </c>
      <c r="C2" s="3" t="s">
        <v>7</v>
      </c>
      <c r="D2" s="3" t="s">
        <v>8</v>
      </c>
      <c r="E2" s="3">
        <v>2</v>
      </c>
      <c r="F2" s="4">
        <f>E2*65000</f>
        <v>130000</v>
      </c>
    </row>
    <row r="3" spans="1:6" x14ac:dyDescent="0.3">
      <c r="A3" s="2">
        <v>46030</v>
      </c>
      <c r="B3" s="3" t="s">
        <v>6</v>
      </c>
      <c r="C3" s="3" t="s">
        <v>9</v>
      </c>
      <c r="D3" s="3" t="s">
        <v>10</v>
      </c>
      <c r="E3" s="3">
        <v>10</v>
      </c>
      <c r="F3" s="4">
        <f>E3*2500</f>
        <v>25000</v>
      </c>
    </row>
    <row r="4" spans="1:6" x14ac:dyDescent="0.3">
      <c r="A4" s="2">
        <v>46034</v>
      </c>
      <c r="B4" s="3" t="s">
        <v>6</v>
      </c>
      <c r="C4" s="3" t="s">
        <v>11</v>
      </c>
      <c r="D4" s="3" t="s">
        <v>12</v>
      </c>
      <c r="E4" s="3">
        <v>4</v>
      </c>
      <c r="F4" s="4">
        <f>E4*12000</f>
        <v>48000</v>
      </c>
    </row>
    <row r="5" spans="1:6" x14ac:dyDescent="0.3">
      <c r="A5" s="2">
        <v>46040</v>
      </c>
      <c r="B5" s="3" t="s">
        <v>6</v>
      </c>
      <c r="C5" s="3" t="s">
        <v>13</v>
      </c>
      <c r="D5" s="3" t="s">
        <v>14</v>
      </c>
      <c r="E5" s="3">
        <v>8</v>
      </c>
      <c r="F5" s="4">
        <f>E5*18000</f>
        <v>144000</v>
      </c>
    </row>
    <row r="6" spans="1:6" x14ac:dyDescent="0.3">
      <c r="A6" s="2">
        <v>46056</v>
      </c>
      <c r="B6" s="3" t="s">
        <v>15</v>
      </c>
      <c r="C6" s="3" t="s">
        <v>7</v>
      </c>
      <c r="D6" s="3" t="s">
        <v>16</v>
      </c>
      <c r="E6" s="3">
        <v>15</v>
      </c>
      <c r="F6" s="4">
        <f>E6*1500</f>
        <v>22500</v>
      </c>
    </row>
    <row r="7" spans="1:6" x14ac:dyDescent="0.3">
      <c r="A7" s="2">
        <v>46063</v>
      </c>
      <c r="B7" s="3" t="s">
        <v>15</v>
      </c>
      <c r="C7" s="3" t="s">
        <v>9</v>
      </c>
      <c r="D7" s="3" t="s">
        <v>17</v>
      </c>
      <c r="E7" s="3">
        <v>5</v>
      </c>
      <c r="F7" s="4">
        <f>E7*9000</f>
        <v>45000</v>
      </c>
    </row>
    <row r="8" spans="1:6" x14ac:dyDescent="0.3">
      <c r="A8" s="2">
        <v>46067</v>
      </c>
      <c r="B8" s="3" t="s">
        <v>15</v>
      </c>
      <c r="C8" s="3" t="s">
        <v>11</v>
      </c>
      <c r="D8" s="3" t="s">
        <v>18</v>
      </c>
      <c r="E8" s="3">
        <v>12</v>
      </c>
      <c r="F8" s="4">
        <f>E8*3500</f>
        <v>42000</v>
      </c>
    </row>
    <row r="9" spans="1:6" x14ac:dyDescent="0.3">
      <c r="A9" s="2">
        <v>46074</v>
      </c>
      <c r="B9" s="3" t="s">
        <v>15</v>
      </c>
      <c r="C9" s="3" t="s">
        <v>13</v>
      </c>
      <c r="D9" s="3" t="s">
        <v>19</v>
      </c>
      <c r="E9" s="3">
        <v>3</v>
      </c>
      <c r="F9" s="4">
        <f>E9*22000</f>
        <v>66000</v>
      </c>
    </row>
    <row r="10" spans="1:6" x14ac:dyDescent="0.3">
      <c r="A10" s="2">
        <v>46083</v>
      </c>
      <c r="B10" s="3" t="s">
        <v>20</v>
      </c>
      <c r="C10" s="3" t="s">
        <v>7</v>
      </c>
      <c r="D10" s="3" t="s">
        <v>14</v>
      </c>
      <c r="E10" s="3">
        <v>7</v>
      </c>
      <c r="F10" s="4">
        <f>E10*18000</f>
        <v>126000</v>
      </c>
    </row>
    <row r="11" spans="1:6" x14ac:dyDescent="0.3">
      <c r="A11" s="2">
        <v>46090</v>
      </c>
      <c r="B11" s="3" t="s">
        <v>20</v>
      </c>
      <c r="C11" s="3" t="s">
        <v>9</v>
      </c>
      <c r="D11" s="3" t="s">
        <v>8</v>
      </c>
      <c r="E11" s="3">
        <v>3</v>
      </c>
      <c r="F11" s="4">
        <f>E11*65000</f>
        <v>195000</v>
      </c>
    </row>
    <row r="12" spans="1:6" x14ac:dyDescent="0.3">
      <c r="A12" s="2">
        <v>46096</v>
      </c>
      <c r="B12" s="3" t="s">
        <v>20</v>
      </c>
      <c r="C12" s="3" t="s">
        <v>11</v>
      </c>
      <c r="D12" s="3" t="s">
        <v>10</v>
      </c>
      <c r="E12" s="3">
        <v>20</v>
      </c>
      <c r="F12" s="4">
        <f>E12*2500</f>
        <v>50000</v>
      </c>
    </row>
    <row r="13" spans="1:6" x14ac:dyDescent="0.3">
      <c r="A13" s="2">
        <v>46103</v>
      </c>
      <c r="B13" s="3" t="s">
        <v>20</v>
      </c>
      <c r="C13" s="3" t="s">
        <v>13</v>
      </c>
      <c r="D13" s="3" t="s">
        <v>12</v>
      </c>
      <c r="E13" s="3">
        <v>6</v>
      </c>
      <c r="F13" s="4">
        <f>E13*12000</f>
        <v>72000</v>
      </c>
    </row>
    <row r="14" spans="1:6" x14ac:dyDescent="0.3">
      <c r="A14" s="2">
        <v>46116</v>
      </c>
      <c r="B14" s="3" t="s">
        <v>21</v>
      </c>
      <c r="C14" s="3" t="s">
        <v>7</v>
      </c>
      <c r="D14" s="3" t="s">
        <v>17</v>
      </c>
      <c r="E14" s="3">
        <v>7</v>
      </c>
      <c r="F14" s="4">
        <f>E14*9000</f>
        <v>63000</v>
      </c>
    </row>
    <row r="15" spans="1:6" x14ac:dyDescent="0.3">
      <c r="A15" s="2">
        <v>46123</v>
      </c>
      <c r="B15" s="3" t="s">
        <v>21</v>
      </c>
      <c r="C15" s="3" t="s">
        <v>9</v>
      </c>
      <c r="D15" s="3" t="s">
        <v>19</v>
      </c>
      <c r="E15" s="3">
        <v>4</v>
      </c>
      <c r="F15" s="4">
        <f>E15*22000</f>
        <v>88000</v>
      </c>
    </row>
    <row r="16" spans="1:6" x14ac:dyDescent="0.3">
      <c r="A16" s="2">
        <v>46129</v>
      </c>
      <c r="B16" s="3" t="s">
        <v>21</v>
      </c>
      <c r="C16" s="3" t="s">
        <v>11</v>
      </c>
      <c r="D16" s="3" t="s">
        <v>16</v>
      </c>
      <c r="E16" s="3">
        <v>25</v>
      </c>
      <c r="F16" s="4">
        <f>E16*1500</f>
        <v>37500</v>
      </c>
    </row>
    <row r="17" spans="1:6" x14ac:dyDescent="0.3">
      <c r="A17" s="2">
        <v>46137</v>
      </c>
      <c r="B17" s="3" t="s">
        <v>21</v>
      </c>
      <c r="C17" s="3" t="s">
        <v>13</v>
      </c>
      <c r="D17" s="3" t="s">
        <v>18</v>
      </c>
      <c r="E17" s="3">
        <v>15</v>
      </c>
      <c r="F17" s="4">
        <f>E17*3500</f>
        <v>52500</v>
      </c>
    </row>
    <row r="18" spans="1:6" x14ac:dyDescent="0.3">
      <c r="A18" s="2">
        <v>46148</v>
      </c>
      <c r="B18" s="3" t="s">
        <v>22</v>
      </c>
      <c r="C18" s="3" t="s">
        <v>7</v>
      </c>
      <c r="D18" s="3" t="s">
        <v>8</v>
      </c>
      <c r="E18" s="3">
        <v>1</v>
      </c>
      <c r="F18" s="4">
        <f>E18*65000</f>
        <v>65000</v>
      </c>
    </row>
    <row r="19" spans="1:6" x14ac:dyDescent="0.3">
      <c r="A19" s="2">
        <v>46155</v>
      </c>
      <c r="B19" s="3" t="s">
        <v>22</v>
      </c>
      <c r="C19" s="3" t="s">
        <v>9</v>
      </c>
      <c r="D19" s="3" t="s">
        <v>14</v>
      </c>
      <c r="E19" s="3">
        <v>10</v>
      </c>
      <c r="F19" s="4">
        <f>E19*18000</f>
        <v>180000</v>
      </c>
    </row>
    <row r="20" spans="1:6" x14ac:dyDescent="0.3">
      <c r="A20" s="2">
        <v>46162</v>
      </c>
      <c r="B20" s="3" t="s">
        <v>22</v>
      </c>
      <c r="C20" s="3" t="s">
        <v>11</v>
      </c>
      <c r="D20" s="3" t="s">
        <v>17</v>
      </c>
      <c r="E20" s="3">
        <v>8</v>
      </c>
      <c r="F20" s="4">
        <f>E20*9000</f>
        <v>72000</v>
      </c>
    </row>
    <row r="21" spans="1:6" x14ac:dyDescent="0.3">
      <c r="A21" s="2">
        <v>46169</v>
      </c>
      <c r="B21" s="3" t="s">
        <v>22</v>
      </c>
      <c r="C21" s="3" t="s">
        <v>13</v>
      </c>
      <c r="D21" s="3" t="s">
        <v>10</v>
      </c>
      <c r="E21" s="3">
        <v>30</v>
      </c>
      <c r="F21" s="4">
        <f>E21*2500</f>
        <v>75000</v>
      </c>
    </row>
    <row r="22" spans="1:6" x14ac:dyDescent="0.3">
      <c r="A22" s="2">
        <v>46176</v>
      </c>
      <c r="B22" s="3" t="s">
        <v>23</v>
      </c>
      <c r="C22" s="3" t="s">
        <v>7</v>
      </c>
      <c r="D22" s="3" t="s">
        <v>19</v>
      </c>
      <c r="E22" s="3">
        <v>5</v>
      </c>
      <c r="F22" s="4">
        <f>E22*22000</f>
        <v>110000</v>
      </c>
    </row>
    <row r="23" spans="1:6" x14ac:dyDescent="0.3">
      <c r="A23" s="2">
        <v>46183</v>
      </c>
      <c r="B23" s="3" t="s">
        <v>23</v>
      </c>
      <c r="C23" s="3" t="s">
        <v>9</v>
      </c>
      <c r="D23" s="3" t="s">
        <v>16</v>
      </c>
      <c r="E23" s="3">
        <v>40</v>
      </c>
      <c r="F23" s="4">
        <f>E23*1500</f>
        <v>60000</v>
      </c>
    </row>
    <row r="24" spans="1:6" x14ac:dyDescent="0.3">
      <c r="A24" s="2">
        <v>46190</v>
      </c>
      <c r="B24" s="3" t="s">
        <v>23</v>
      </c>
      <c r="C24" s="3" t="s">
        <v>11</v>
      </c>
      <c r="D24" s="3" t="s">
        <v>12</v>
      </c>
      <c r="E24" s="3">
        <v>5</v>
      </c>
      <c r="F24" s="4">
        <f>E24*12000</f>
        <v>60000</v>
      </c>
    </row>
    <row r="25" spans="1:6" x14ac:dyDescent="0.3">
      <c r="A25" s="2">
        <v>46197</v>
      </c>
      <c r="B25" s="3" t="s">
        <v>23</v>
      </c>
      <c r="C25" s="3" t="s">
        <v>13</v>
      </c>
      <c r="D25" s="3" t="s">
        <v>8</v>
      </c>
      <c r="E25" s="3">
        <v>2</v>
      </c>
      <c r="F25" s="4">
        <f>E25*65000</f>
        <v>130000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Normal="100" workbookViewId="0"/>
  </sheetViews>
  <sheetFormatPr defaultColWidth="8.6640625" defaultRowHeight="15" customHeight="1" x14ac:dyDescent="0.3"/>
  <cols>
    <col min="1" max="1" width="13" customWidth="1"/>
    <col min="2" max="3" width="30" customWidth="1"/>
    <col min="4" max="4" width="14" customWidth="1"/>
  </cols>
  <sheetData>
    <row r="1" spans="1:7" x14ac:dyDescent="0.3">
      <c r="A1" s="1" t="s">
        <v>1</v>
      </c>
      <c r="B1" s="1" t="s">
        <v>24</v>
      </c>
      <c r="C1" s="1" t="s">
        <v>25</v>
      </c>
      <c r="D1" s="1" t="s">
        <v>26</v>
      </c>
      <c r="E1" s="3"/>
      <c r="F1" s="1" t="s">
        <v>2</v>
      </c>
      <c r="G1" s="1" t="s">
        <v>5</v>
      </c>
    </row>
    <row r="2" spans="1:7" x14ac:dyDescent="0.3">
      <c r="A2" s="3" t="s">
        <v>6</v>
      </c>
      <c r="B2" s="4">
        <f>SUMIF('Sales Data'!B2:B25,A2,'Sales Data'!F2:F25)</f>
        <v>347000</v>
      </c>
      <c r="C2" s="3">
        <f>SUMIF('Sales Data'!B2:B25,A2,'Sales Data'!E2:E25)</f>
        <v>24</v>
      </c>
      <c r="D2" s="4">
        <f>B2*0.18</f>
        <v>62460</v>
      </c>
      <c r="E2" s="3"/>
      <c r="F2" s="3" t="s">
        <v>7</v>
      </c>
      <c r="G2" s="4">
        <f>SUMIF('Sales Data'!C2:C25,F2,'Sales Data'!F2:F25)</f>
        <v>516500</v>
      </c>
    </row>
    <row r="3" spans="1:7" x14ac:dyDescent="0.3">
      <c r="A3" s="3" t="s">
        <v>15</v>
      </c>
      <c r="B3" s="4">
        <f>SUMIF('Sales Data'!B2:B25,A3,'Sales Data'!F2:F25)</f>
        <v>175500</v>
      </c>
      <c r="C3" s="3">
        <f>SUMIF('Sales Data'!B2:B25,A3,'Sales Data'!E2:E25)</f>
        <v>35</v>
      </c>
      <c r="D3" s="4">
        <f>B3*0.17</f>
        <v>29835.000000000004</v>
      </c>
      <c r="E3" s="3"/>
      <c r="F3" s="3" t="s">
        <v>9</v>
      </c>
      <c r="G3" s="4">
        <f>SUMIF('Sales Data'!C2:C25,F3,'Sales Data'!F2:F25)</f>
        <v>593000</v>
      </c>
    </row>
    <row r="4" spans="1:7" x14ac:dyDescent="0.3">
      <c r="A4" s="3" t="s">
        <v>20</v>
      </c>
      <c r="B4" s="4">
        <f>SUMIF('Sales Data'!B2:B25,A4,'Sales Data'!F2:F25)</f>
        <v>443000</v>
      </c>
      <c r="C4" s="3">
        <f>SUMIF('Sales Data'!B2:B25,A4,'Sales Data'!E2:E25)</f>
        <v>36</v>
      </c>
      <c r="D4" s="4">
        <f>B4*0.2</f>
        <v>88600</v>
      </c>
      <c r="E4" s="3"/>
      <c r="F4" s="3" t="s">
        <v>11</v>
      </c>
      <c r="G4" s="4">
        <f>SUMIF('Sales Data'!C2:C25,F4,'Sales Data'!F2:F25)</f>
        <v>309500</v>
      </c>
    </row>
    <row r="5" spans="1:7" x14ac:dyDescent="0.3">
      <c r="A5" s="3" t="s">
        <v>21</v>
      </c>
      <c r="B5" s="4">
        <f>SUMIF('Sales Data'!B2:B25,A5,'Sales Data'!F2:F25)</f>
        <v>241000</v>
      </c>
      <c r="C5" s="3">
        <f>SUMIF('Sales Data'!B2:B25,A5,'Sales Data'!E2:E25)</f>
        <v>51</v>
      </c>
      <c r="D5" s="4">
        <f>B5*0.19</f>
        <v>45790</v>
      </c>
      <c r="E5" s="3"/>
      <c r="F5" s="3" t="s">
        <v>13</v>
      </c>
      <c r="G5" s="4">
        <f>SUMIF('Sales Data'!C2:C25,F5,'Sales Data'!F2:F25)</f>
        <v>539500</v>
      </c>
    </row>
    <row r="6" spans="1:7" x14ac:dyDescent="0.3">
      <c r="A6" s="3" t="s">
        <v>22</v>
      </c>
      <c r="B6" s="4">
        <f>SUMIF('Sales Data'!B2:B25,A6,'Sales Data'!F2:F25)</f>
        <v>392000</v>
      </c>
      <c r="C6" s="3">
        <f>SUMIF('Sales Data'!B2:B25,A6,'Sales Data'!E2:E25)</f>
        <v>49</v>
      </c>
      <c r="D6" s="4">
        <f>B6*0.195</f>
        <v>76440</v>
      </c>
      <c r="E6" s="3"/>
      <c r="F6" s="3"/>
      <c r="G6" s="3"/>
    </row>
    <row r="7" spans="1:7" x14ac:dyDescent="0.3">
      <c r="A7" s="3" t="s">
        <v>23</v>
      </c>
      <c r="B7" s="4">
        <f>SUMIF('Sales Data'!B2:B25,A7,'Sales Data'!F2:F25)</f>
        <v>360000</v>
      </c>
      <c r="C7" s="3">
        <f>SUMIF('Sales Data'!B2:B25,A7,'Sales Data'!E2:E25)</f>
        <v>52</v>
      </c>
      <c r="D7" s="4">
        <f>B7*0.198</f>
        <v>71280</v>
      </c>
      <c r="E7" s="3"/>
      <c r="F7" s="3"/>
      <c r="G7" s="3"/>
    </row>
    <row r="8" spans="1:7" x14ac:dyDescent="0.3">
      <c r="A8" s="3" t="s">
        <v>27</v>
      </c>
      <c r="B8" s="4">
        <f>SUM(B2:B7)</f>
        <v>1958500</v>
      </c>
      <c r="C8" s="3">
        <f>SUM(C2:C7)</f>
        <v>247</v>
      </c>
      <c r="D8" s="4">
        <f>SUM(D2:D7)</f>
        <v>374405</v>
      </c>
      <c r="E8" s="3"/>
      <c r="F8" s="3"/>
      <c r="G8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>
      <selection activeCell="J22" sqref="J22"/>
    </sheetView>
  </sheetViews>
  <sheetFormatPr defaultColWidth="8.6640625" defaultRowHeight="15" customHeight="1" x14ac:dyDescent="0.3"/>
  <cols>
    <col min="1" max="1" width="30" customWidth="1"/>
  </cols>
  <sheetData>
    <row r="1" spans="1:1" ht="20.399999999999999" x14ac:dyDescent="0.35">
      <c r="A1" s="5" t="s">
        <v>28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Pivot Table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Bhoopendra Kumar</cp:lastModifiedBy>
  <dcterms:modified xsi:type="dcterms:W3CDTF">2026-09-30T04:16:32Z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2026-09-21T17:43:35Z</dcterms:modified>
  <cp:revision>0</cp:revision>
  <dc:subject/>
  <dc:title/>
</cp:coreProperties>
</file>