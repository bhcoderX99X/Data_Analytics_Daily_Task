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itv\AppData\Local\Packages\5319275A.WhatsAppDesktop_cv1g1gvanyjgm\LocalState\sessions\DACADAF45A9E0656035E48F5D25435CF3D445624\transfers\2026-40\"/>
    </mc:Choice>
  </mc:AlternateContent>
  <xr:revisionPtr revIDLastSave="0" documentId="13_ncr:1_{4BDC7EDD-BC1A-4B99-87FC-DC2CAE0CBD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1" l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J6" i="1"/>
  <c r="G6" i="1"/>
  <c r="F6" i="1"/>
  <c r="E6" i="1"/>
  <c r="J5" i="1"/>
  <c r="G5" i="1"/>
  <c r="F5" i="1"/>
  <c r="E5" i="1"/>
  <c r="J4" i="1"/>
  <c r="G4" i="1"/>
  <c r="F4" i="1"/>
  <c r="E4" i="1"/>
  <c r="J3" i="1"/>
  <c r="G3" i="1"/>
  <c r="F3" i="1"/>
  <c r="E3" i="1"/>
  <c r="J2" i="1"/>
  <c r="G2" i="1"/>
  <c r="F2" i="1"/>
  <c r="E2" i="1"/>
</calcChain>
</file>

<file path=xl/sharedStrings.xml><?xml version="1.0" encoding="utf-8"?>
<sst xmlns="http://schemas.openxmlformats.org/spreadsheetml/2006/main" count="25" uniqueCount="25">
  <si>
    <t>Name</t>
  </si>
  <si>
    <t>Salary</t>
  </si>
  <si>
    <t>Years</t>
  </si>
  <si>
    <t>Rating</t>
  </si>
  <si>
    <t>Bonus 10%</t>
  </si>
  <si>
    <t>Annual Salary</t>
  </si>
  <si>
    <t>Rounded Rating</t>
  </si>
  <si>
    <t>Function Practice</t>
  </si>
  <si>
    <t>Aarav</t>
  </si>
  <si>
    <t>COUNT</t>
  </si>
  <si>
    <t>Diya</t>
  </si>
  <si>
    <t>COUNTA</t>
  </si>
  <si>
    <t>Kabir</t>
  </si>
  <si>
    <t>SUM</t>
  </si>
  <si>
    <t>Ananya</t>
  </si>
  <si>
    <t>AVERAGE</t>
  </si>
  <si>
    <t>Rohan</t>
  </si>
  <si>
    <t>ROUND Avg Rating</t>
  </si>
  <si>
    <t>Meera</t>
  </si>
  <si>
    <t>Arjun</t>
  </si>
  <si>
    <t>Sara</t>
  </si>
  <si>
    <t>Vivaan</t>
  </si>
  <si>
    <t>Ishita</t>
  </si>
  <si>
    <t>Advik</t>
  </si>
  <si>
    <t>Kiara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</si>
</sst>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2">
    <xf numFmtId="0" fontId="0" fillId="0" borderId="0"/>
    <xf numFmtId="0" fontId="2" fillId="3" borderId="2" applyNumberFormat="0" applyAlignment="0" applyProtection="0"/>
  </cellStyleXfs>
  <cellXfs count="13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3" borderId="2" xfId="1"/>
  </cellXfs>
  <cellStyles count="2">
    <cellStyle name="Calculation" xfId="1" builtinId="22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rgb="FF003366"/>
          <bgColor rgb="FF1F4E7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\₹#,##0"/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\₹#,##0"/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\₹#,##0"/>
      <alignment horizontal="general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59357-5B81-419E-8757-DCF55B2CD207}" name="Table1" displayName="Table1" ref="A1:G13" totalsRowShown="0" headerRowDxfId="0" headerRowBorderDxfId="9" tableBorderDxfId="10" totalsRowBorderDxfId="8">
  <autoFilter ref="A1:G13" xr:uid="{D8A59357-5B81-419E-8757-DCF55B2CD207}"/>
  <tableColumns count="7">
    <tableColumn id="1" xr3:uid="{B9BA2475-19DB-468E-B97C-4689C058C41E}" name="Name" dataDxfId="7"/>
    <tableColumn id="2" xr3:uid="{595CC31B-7070-4C01-B237-B1AF8D73044E}" name="Salary" dataDxfId="6"/>
    <tableColumn id="3" xr3:uid="{6D23D5B1-B103-420B-BD0F-21221DD1CB9C}" name="Years" dataDxfId="5"/>
    <tableColumn id="4" xr3:uid="{D8B0334A-692F-4686-8EE7-C38B61A0D7D1}" name="Rating" dataDxfId="4"/>
    <tableColumn id="5" xr3:uid="{0FE3B8D4-7F9A-4FE2-8D18-66A1F737AFDF}" name="Bonus 10%" dataDxfId="3">
      <calculatedColumnFormula>B2*10%</calculatedColumnFormula>
    </tableColumn>
    <tableColumn id="6" xr3:uid="{41AB14B6-BC1D-44EC-9952-DC7D7171397F}" name="Annual Salary" dataDxfId="2">
      <calculatedColumnFormula>B2*12</calculatedColumnFormula>
    </tableColumn>
    <tableColumn id="7" xr3:uid="{3AC7150F-F29B-4B7A-9272-E9E59042424F}" name="Rounded Rating" dataDxfId="1">
      <calculatedColumnFormula>ROUND(D2,0)</calculatedColumnFormula>
    </tableColumn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I8" sqref="I8"/>
    </sheetView>
  </sheetViews>
  <sheetFormatPr defaultColWidth="8.6640625" defaultRowHeight="15" customHeight="1" x14ac:dyDescent="0.3"/>
  <cols>
    <col min="1" max="4" width="10" customWidth="1"/>
    <col min="5" max="5" width="13.5546875" customWidth="1"/>
    <col min="6" max="6" width="16" customWidth="1"/>
    <col min="7" max="7" width="17.88671875" customWidth="1"/>
    <col min="8" max="8" width="10" customWidth="1"/>
    <col min="9" max="9" width="19" customWidth="1"/>
    <col min="10" max="10" width="27" customWidth="1"/>
  </cols>
  <sheetData>
    <row r="1" spans="1:10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I1" s="12" t="s">
        <v>7</v>
      </c>
      <c r="J1" s="12"/>
    </row>
    <row r="2" spans="1:10" x14ac:dyDescent="0.3">
      <c r="A2" s="3" t="s">
        <v>8</v>
      </c>
      <c r="B2" s="2">
        <v>42000</v>
      </c>
      <c r="C2" s="1">
        <v>8</v>
      </c>
      <c r="D2" s="1">
        <v>4.2</v>
      </c>
      <c r="E2" s="2">
        <f t="shared" ref="E2:E13" si="0">B2*10%</f>
        <v>4200</v>
      </c>
      <c r="F2" s="2">
        <f t="shared" ref="F2:F13" si="1">B2*12</f>
        <v>504000</v>
      </c>
      <c r="G2" s="4">
        <f t="shared" ref="G2:G13" si="2">ROUND(D2,0)</f>
        <v>4</v>
      </c>
      <c r="I2" s="12" t="s">
        <v>9</v>
      </c>
      <c r="J2" s="12">
        <f>COUNT(B2:B13)</f>
        <v>12</v>
      </c>
    </row>
    <row r="3" spans="1:10" x14ac:dyDescent="0.3">
      <c r="A3" s="3" t="s">
        <v>10</v>
      </c>
      <c r="B3" s="2">
        <v>39000</v>
      </c>
      <c r="C3" s="1">
        <v>7</v>
      </c>
      <c r="D3" s="1">
        <v>4</v>
      </c>
      <c r="E3" s="2">
        <f t="shared" si="0"/>
        <v>3900</v>
      </c>
      <c r="F3" s="2">
        <f t="shared" si="1"/>
        <v>468000</v>
      </c>
      <c r="G3" s="4">
        <f t="shared" si="2"/>
        <v>4</v>
      </c>
      <c r="I3" s="12" t="s">
        <v>11</v>
      </c>
      <c r="J3" s="12">
        <f>COUNTA(A2:A13)</f>
        <v>12</v>
      </c>
    </row>
    <row r="4" spans="1:10" x14ac:dyDescent="0.3">
      <c r="A4" s="3" t="s">
        <v>12</v>
      </c>
      <c r="B4" s="2">
        <v>55000</v>
      </c>
      <c r="C4" s="1">
        <v>9</v>
      </c>
      <c r="D4" s="1">
        <v>4.5999999999999996</v>
      </c>
      <c r="E4" s="2">
        <f t="shared" si="0"/>
        <v>5500</v>
      </c>
      <c r="F4" s="2">
        <f t="shared" si="1"/>
        <v>660000</v>
      </c>
      <c r="G4" s="4">
        <f t="shared" si="2"/>
        <v>5</v>
      </c>
      <c r="I4" s="12" t="s">
        <v>13</v>
      </c>
      <c r="J4" s="12">
        <f>SUM(B2:B13)</f>
        <v>604000</v>
      </c>
    </row>
    <row r="5" spans="1:10" x14ac:dyDescent="0.3">
      <c r="A5" s="3" t="s">
        <v>14</v>
      </c>
      <c r="B5" s="2">
        <v>47000</v>
      </c>
      <c r="C5" s="1">
        <v>8</v>
      </c>
      <c r="D5" s="1">
        <v>4.4000000000000004</v>
      </c>
      <c r="E5" s="2">
        <f t="shared" si="0"/>
        <v>4700</v>
      </c>
      <c r="F5" s="2">
        <f t="shared" si="1"/>
        <v>564000</v>
      </c>
      <c r="G5" s="4">
        <f t="shared" si="2"/>
        <v>4</v>
      </c>
      <c r="I5" s="12" t="s">
        <v>15</v>
      </c>
      <c r="J5" s="12">
        <f>AVERAGE(B2:B13)</f>
        <v>50333.333333333336</v>
      </c>
    </row>
    <row r="6" spans="1:10" x14ac:dyDescent="0.3">
      <c r="A6" s="3" t="s">
        <v>16</v>
      </c>
      <c r="B6" s="2">
        <v>62000</v>
      </c>
      <c r="C6" s="1">
        <v>10</v>
      </c>
      <c r="D6" s="1">
        <v>4.8</v>
      </c>
      <c r="E6" s="2">
        <f t="shared" si="0"/>
        <v>6200</v>
      </c>
      <c r="F6" s="2">
        <f t="shared" si="1"/>
        <v>744000</v>
      </c>
      <c r="G6" s="4">
        <f t="shared" si="2"/>
        <v>5</v>
      </c>
      <c r="I6" s="12" t="s">
        <v>17</v>
      </c>
      <c r="J6" s="12">
        <f>ROUND(AVERAGE(D2:D13),1)</f>
        <v>4.3</v>
      </c>
    </row>
    <row r="7" spans="1:10" x14ac:dyDescent="0.3">
      <c r="A7" s="3" t="s">
        <v>18</v>
      </c>
      <c r="B7" s="2">
        <v>58000</v>
      </c>
      <c r="C7" s="1">
        <v>9</v>
      </c>
      <c r="D7" s="1">
        <v>4.5</v>
      </c>
      <c r="E7" s="2">
        <f t="shared" si="0"/>
        <v>5800</v>
      </c>
      <c r="F7" s="2">
        <f t="shared" si="1"/>
        <v>696000</v>
      </c>
      <c r="G7" s="4">
        <f t="shared" si="2"/>
        <v>5</v>
      </c>
    </row>
    <row r="8" spans="1:10" x14ac:dyDescent="0.3">
      <c r="A8" s="3" t="s">
        <v>19</v>
      </c>
      <c r="B8" s="2">
        <v>45000</v>
      </c>
      <c r="C8" s="1">
        <v>8</v>
      </c>
      <c r="D8" s="1">
        <v>4.0999999999999996</v>
      </c>
      <c r="E8" s="2">
        <f t="shared" si="0"/>
        <v>4500</v>
      </c>
      <c r="F8" s="2">
        <f t="shared" si="1"/>
        <v>540000</v>
      </c>
      <c r="G8" s="4">
        <f t="shared" si="2"/>
        <v>4</v>
      </c>
    </row>
    <row r="9" spans="1:10" x14ac:dyDescent="0.3">
      <c r="A9" s="3" t="s">
        <v>20</v>
      </c>
      <c r="B9" s="2">
        <v>50000</v>
      </c>
      <c r="C9" s="1">
        <v>7</v>
      </c>
      <c r="D9" s="1">
        <v>4.3</v>
      </c>
      <c r="E9" s="2">
        <f t="shared" si="0"/>
        <v>5000</v>
      </c>
      <c r="F9" s="2">
        <f t="shared" si="1"/>
        <v>600000</v>
      </c>
      <c r="G9" s="4">
        <f t="shared" si="2"/>
        <v>4</v>
      </c>
    </row>
    <row r="10" spans="1:10" x14ac:dyDescent="0.3">
      <c r="A10" s="3" t="s">
        <v>21</v>
      </c>
      <c r="B10" s="2">
        <v>60000</v>
      </c>
      <c r="C10" s="1">
        <v>11</v>
      </c>
      <c r="D10" s="1">
        <v>4.7</v>
      </c>
      <c r="E10" s="2">
        <f t="shared" si="0"/>
        <v>6000</v>
      </c>
      <c r="F10" s="2">
        <f t="shared" si="1"/>
        <v>720000</v>
      </c>
      <c r="G10" s="4">
        <f t="shared" si="2"/>
        <v>5</v>
      </c>
    </row>
    <row r="11" spans="1:10" x14ac:dyDescent="0.3">
      <c r="A11" s="3" t="s">
        <v>22</v>
      </c>
      <c r="B11" s="2">
        <v>52000</v>
      </c>
      <c r="C11" s="1">
        <v>8</v>
      </c>
      <c r="D11" s="1">
        <v>4.4000000000000004</v>
      </c>
      <c r="E11" s="2">
        <f t="shared" si="0"/>
        <v>5200</v>
      </c>
      <c r="F11" s="2">
        <f t="shared" si="1"/>
        <v>624000</v>
      </c>
      <c r="G11" s="4">
        <f t="shared" si="2"/>
        <v>4</v>
      </c>
    </row>
    <row r="12" spans="1:10" x14ac:dyDescent="0.3">
      <c r="A12" s="3" t="s">
        <v>23</v>
      </c>
      <c r="B12" s="2">
        <v>48000</v>
      </c>
      <c r="C12" s="1">
        <v>7</v>
      </c>
      <c r="D12" s="1">
        <v>4</v>
      </c>
      <c r="E12" s="2">
        <f t="shared" si="0"/>
        <v>4800</v>
      </c>
      <c r="F12" s="2">
        <f t="shared" si="1"/>
        <v>576000</v>
      </c>
      <c r="G12" s="4">
        <f t="shared" si="2"/>
        <v>4</v>
      </c>
    </row>
    <row r="13" spans="1:10" x14ac:dyDescent="0.3">
      <c r="A13" s="8" t="s">
        <v>24</v>
      </c>
      <c r="B13" s="9">
        <v>46000</v>
      </c>
      <c r="C13" s="10">
        <v>6</v>
      </c>
      <c r="D13" s="10">
        <v>3.9</v>
      </c>
      <c r="E13" s="9">
        <f t="shared" si="0"/>
        <v>4600</v>
      </c>
      <c r="F13" s="9">
        <f t="shared" si="1"/>
        <v>552000</v>
      </c>
      <c r="G13" s="11">
        <f t="shared" si="2"/>
        <v>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Bhoopendra Kumar</cp:lastModifiedBy>
  <dcterms:modified xsi:type="dcterms:W3CDTF">2026-09-30T03:47:59Z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