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itv\AppData\Local\Packages\5319275A.WhatsAppDesktop_cv1g1gvanyjgm\LocalState\sessions\DACADAF45A9E0656035E48F5D25435CF3D445624\transfers\2026-40\"/>
    </mc:Choice>
  </mc:AlternateContent>
  <xr:revisionPtr revIDLastSave="0" documentId="13_ncr:1_{DA368798-7C64-4866-86F7-0B452C2416F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okup" sheetId="1" r:id="rId1"/>
    <sheet name="Product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5" i="1" l="1"/>
  <c r="G25" i="1"/>
  <c r="D25" i="1"/>
  <c r="F25" i="1" s="1"/>
  <c r="C25" i="1"/>
  <c r="B25" i="1"/>
  <c r="H24" i="1"/>
  <c r="G24" i="1"/>
  <c r="D24" i="1"/>
  <c r="F24" i="1" s="1"/>
  <c r="C24" i="1"/>
  <c r="B24" i="1"/>
  <c r="H23" i="1"/>
  <c r="G23" i="1"/>
  <c r="D23" i="1"/>
  <c r="F23" i="1" s="1"/>
  <c r="C23" i="1"/>
  <c r="B23" i="1"/>
  <c r="H22" i="1"/>
  <c r="G22" i="1"/>
  <c r="D22" i="1"/>
  <c r="F22" i="1" s="1"/>
  <c r="C22" i="1"/>
  <c r="B22" i="1"/>
  <c r="H21" i="1"/>
  <c r="G21" i="1"/>
  <c r="D21" i="1"/>
  <c r="F21" i="1" s="1"/>
  <c r="C21" i="1"/>
  <c r="B21" i="1"/>
  <c r="H20" i="1"/>
  <c r="G20" i="1"/>
  <c r="D20" i="1"/>
  <c r="F20" i="1" s="1"/>
  <c r="C20" i="1"/>
  <c r="B20" i="1"/>
  <c r="H19" i="1"/>
  <c r="G19" i="1"/>
  <c r="D19" i="1"/>
  <c r="F19" i="1" s="1"/>
  <c r="C19" i="1"/>
  <c r="B19" i="1"/>
  <c r="H18" i="1"/>
  <c r="G18" i="1"/>
  <c r="D18" i="1"/>
  <c r="F18" i="1" s="1"/>
  <c r="C18" i="1"/>
  <c r="B18" i="1"/>
  <c r="H17" i="1"/>
  <c r="G17" i="1"/>
  <c r="D17" i="1"/>
  <c r="F17" i="1" s="1"/>
  <c r="C17" i="1"/>
  <c r="B17" i="1"/>
  <c r="H16" i="1"/>
  <c r="G16" i="1"/>
  <c r="D16" i="1"/>
  <c r="F16" i="1" s="1"/>
  <c r="C16" i="1"/>
  <c r="B16" i="1"/>
  <c r="H15" i="1"/>
  <c r="G15" i="1"/>
  <c r="D15" i="1"/>
  <c r="F15" i="1" s="1"/>
  <c r="C15" i="1"/>
  <c r="B15" i="1"/>
  <c r="H14" i="1"/>
  <c r="G14" i="1"/>
  <c r="D14" i="1"/>
  <c r="F14" i="1" s="1"/>
  <c r="C14" i="1"/>
  <c r="B14" i="1"/>
  <c r="H13" i="1"/>
  <c r="G13" i="1"/>
  <c r="D13" i="1"/>
  <c r="F13" i="1" s="1"/>
  <c r="C13" i="1"/>
  <c r="B13" i="1"/>
  <c r="H12" i="1"/>
  <c r="G12" i="1"/>
  <c r="D12" i="1"/>
  <c r="F12" i="1" s="1"/>
  <c r="C12" i="1"/>
  <c r="B12" i="1"/>
  <c r="H11" i="1"/>
  <c r="G11" i="1"/>
  <c r="D11" i="1"/>
  <c r="F11" i="1" s="1"/>
  <c r="C11" i="1"/>
  <c r="B11" i="1"/>
  <c r="H10" i="1"/>
  <c r="G10" i="1"/>
  <c r="D10" i="1"/>
  <c r="F10" i="1" s="1"/>
  <c r="C10" i="1"/>
  <c r="B10" i="1"/>
  <c r="H9" i="1"/>
  <c r="G9" i="1"/>
  <c r="D9" i="1"/>
  <c r="F9" i="1" s="1"/>
  <c r="C9" i="1"/>
  <c r="B9" i="1"/>
  <c r="H8" i="1"/>
  <c r="G8" i="1"/>
  <c r="D8" i="1"/>
  <c r="F8" i="1" s="1"/>
  <c r="C8" i="1"/>
  <c r="B8" i="1"/>
  <c r="H7" i="1"/>
  <c r="G7" i="1"/>
  <c r="D7" i="1"/>
  <c r="F7" i="1" s="1"/>
  <c r="C7" i="1"/>
  <c r="B7" i="1"/>
  <c r="H6" i="1"/>
  <c r="G6" i="1"/>
  <c r="D6" i="1"/>
  <c r="F6" i="1" s="1"/>
  <c r="C6" i="1"/>
  <c r="B6" i="1"/>
  <c r="H5" i="1"/>
  <c r="G5" i="1"/>
  <c r="D5" i="1"/>
  <c r="F5" i="1" s="1"/>
  <c r="C5" i="1"/>
  <c r="B5" i="1"/>
  <c r="H4" i="1"/>
  <c r="G4" i="1"/>
  <c r="D4" i="1"/>
  <c r="F4" i="1" s="1"/>
  <c r="C4" i="1"/>
  <c r="B4" i="1"/>
  <c r="H3" i="1"/>
  <c r="G3" i="1"/>
  <c r="D3" i="1"/>
  <c r="F3" i="1" s="1"/>
  <c r="C3" i="1"/>
  <c r="B3" i="1"/>
  <c r="H2" i="1"/>
  <c r="G2" i="1"/>
  <c r="D2" i="1"/>
  <c r="F2" i="1" s="1"/>
  <c r="C2" i="1"/>
  <c r="B2" i="1"/>
</calcChain>
</file>

<file path=xl/sharedStrings.xml><?xml version="1.0" encoding="utf-8"?>
<sst xmlns="http://schemas.openxmlformats.org/spreadsheetml/2006/main" count="62" uniqueCount="29">
  <si>
    <t>Product ID</t>
  </si>
  <si>
    <t>Product</t>
  </si>
  <si>
    <t>Category</t>
  </si>
  <si>
    <t>Unit Price</t>
  </si>
  <si>
    <t>Units</t>
  </si>
  <si>
    <t>Revenue</t>
  </si>
  <si>
    <t>VLOOKUP Price Check</t>
  </si>
  <si>
    <t>INDEX/MATCH Category</t>
  </si>
  <si>
    <t>P001</t>
  </si>
  <si>
    <t>P003</t>
  </si>
  <si>
    <t>P005</t>
  </si>
  <si>
    <t>P002</t>
  </si>
  <si>
    <t>P004</t>
  </si>
  <si>
    <t>P006</t>
  </si>
  <si>
    <t>P007</t>
  </si>
  <si>
    <t>P008</t>
  </si>
  <si>
    <t>Stock</t>
  </si>
  <si>
    <t>Discount</t>
  </si>
  <si>
    <t>Laptop</t>
  </si>
  <si>
    <t>Electronics</t>
  </si>
  <si>
    <t>Monitor</t>
  </si>
  <si>
    <t>Keyboard</t>
  </si>
  <si>
    <t>Accessories</t>
  </si>
  <si>
    <t>Mouse</t>
  </si>
  <si>
    <t>Desk</t>
  </si>
  <si>
    <t>Furniture</t>
  </si>
  <si>
    <t>Chair</t>
  </si>
  <si>
    <t>Headset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</si>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</sst>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64" fontId="0" fillId="0" borderId="8" xfId="0" applyNumberFormat="1" applyBorder="1" applyAlignment="1">
      <alignment vertical="center"/>
    </xf>
    <xf numFmtId="0" fontId="0" fillId="0" borderId="9" xfId="0" applyBorder="1" applyAlignment="1">
      <alignment vertical="center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family val="1"/>
        <scheme val="none"/>
      </font>
      <fill>
        <patternFill patternType="solid">
          <fgColor rgb="FF003366"/>
          <bgColor rgb="FF1F4E7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\₹#,##0"/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\₹#,##0"/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\₹#,##0"/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C11D33-CFE2-481C-B49D-A57B9A20D86B}" name="Table2" displayName="Table2" ref="A1:H25" totalsRowShown="0" headerRowDxfId="0" dataDxfId="1" headerRowBorderDxfId="11" tableBorderDxfId="12" totalsRowBorderDxfId="10">
  <autoFilter ref="A1:H25" xr:uid="{1AC11D33-CFE2-481C-B49D-A57B9A20D86B}"/>
  <tableColumns count="8">
    <tableColumn id="1" xr3:uid="{EAA0618B-AD9B-4E45-84D9-4344DC58CE69}" name="Product ID" dataDxfId="9"/>
    <tableColumn id="2" xr3:uid="{A7180EAB-0E5B-406D-812C-DEEC98B8AB39}" name="Product" dataDxfId="8">
      <calculatedColumnFormula>VLOOKUP(A2,Products!$A$2:$F$9,2,FALSE())</calculatedColumnFormula>
    </tableColumn>
    <tableColumn id="3" xr3:uid="{7D74F3A0-19B3-42DA-9E3F-12D9054F116C}" name="Category" dataDxfId="7">
      <calculatedColumnFormula>VLOOKUP(A2,Products!$A$2:$F$9,3,FALSE())</calculatedColumnFormula>
    </tableColumn>
    <tableColumn id="4" xr3:uid="{A323CFA6-965F-4908-86E2-9063AF3AD530}" name="Unit Price" dataDxfId="6">
      <calculatedColumnFormula>VLOOKUP(A2,Products!$A$2:$F$9,4,FALSE())</calculatedColumnFormula>
    </tableColumn>
    <tableColumn id="5" xr3:uid="{F4ADD42E-E76B-4D24-8443-C17759F6B0FC}" name="Units" dataDxfId="5"/>
    <tableColumn id="6" xr3:uid="{423808C6-F365-44E1-B987-1C8E74944E05}" name="Revenue" dataDxfId="4">
      <calculatedColumnFormula>D2*E2</calculatedColumnFormula>
    </tableColumn>
    <tableColumn id="7" xr3:uid="{53502833-9770-4C60-870B-4C0CB78145DF}" name="VLOOKUP Price Check" dataDxfId="3">
      <calculatedColumnFormula>VLOOKUP(A2,Products!$A$2:$F$9,4,FALSE())</calculatedColumnFormula>
    </tableColumn>
    <tableColumn id="8" xr3:uid="{40ADFEE3-7773-4F47-AFF5-A1859287F2CC}" name="INDEX/MATCH Category" dataDxfId="2">
      <calculatedColumnFormula>INDEX(Products!$C$2:$C$9,MATCH(A2,Products!$A$2:$A$9,0))</calculatedColumnFormula>
    </tableColumn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Master" displayName="ProductMaster" ref="A1:F9" totalsRowShown="0">
  <autoFilter ref="A1:F9" xr:uid="{00000000-0009-0000-0100-000001000000}"/>
  <tableColumns count="6">
    <tableColumn id="1" xr3:uid="{00000000-0010-0000-0000-000001000000}" name="Product ID"/>
    <tableColumn id="2" xr3:uid="{00000000-0010-0000-0000-000002000000}" name="Product"/>
    <tableColumn id="3" xr3:uid="{00000000-0010-0000-0000-000003000000}" name="Category"/>
    <tableColumn id="4" xr3:uid="{00000000-0010-0000-0000-000004000000}" name="Unit Price"/>
    <tableColumn id="5" xr3:uid="{00000000-0010-0000-0000-000005000000}" name="Stock"/>
    <tableColumn id="6" xr3:uid="{00000000-0010-0000-0000-000006000000}" name="Discount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zoomScaleNormal="100" workbookViewId="0">
      <selection sqref="A1:H25"/>
    </sheetView>
  </sheetViews>
  <sheetFormatPr defaultColWidth="8.6640625" defaultRowHeight="15" customHeight="1" x14ac:dyDescent="0.3"/>
  <cols>
    <col min="1" max="1" width="12.77734375" customWidth="1"/>
    <col min="2" max="4" width="30" customWidth="1"/>
    <col min="5" max="5" width="10" customWidth="1"/>
    <col min="6" max="6" width="11.109375" customWidth="1"/>
    <col min="7" max="8" width="30" customWidth="1"/>
  </cols>
  <sheetData>
    <row r="1" spans="1:8" ht="15" customHeigh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</row>
    <row r="2" spans="1:8" ht="15" customHeight="1" x14ac:dyDescent="0.3">
      <c r="A2" s="5" t="s">
        <v>8</v>
      </c>
      <c r="B2" s="2" t="str">
        <f>VLOOKUP(A2,Products!$A$2:$F$9,2,FALSE())</f>
        <v>Laptop</v>
      </c>
      <c r="C2" s="2" t="str">
        <f>VLOOKUP(A2,Products!$A$2:$F$9,3,FALSE())</f>
        <v>Electronics</v>
      </c>
      <c r="D2" s="3">
        <f>VLOOKUP(A2,Products!$A$2:$F$9,4,FALSE())</f>
        <v>65000</v>
      </c>
      <c r="E2" s="2">
        <v>2</v>
      </c>
      <c r="F2" s="3">
        <f t="shared" ref="F2:F25" si="0">D2*E2</f>
        <v>130000</v>
      </c>
      <c r="G2" s="3">
        <f>VLOOKUP(A2,Products!$A$2:$F$9,4,FALSE())</f>
        <v>65000</v>
      </c>
      <c r="H2" s="6" t="str">
        <f>INDEX(Products!$C$2:$C$9,MATCH(A2,Products!$A$2:$A$9,0))</f>
        <v>Electronics</v>
      </c>
    </row>
    <row r="3" spans="1:8" ht="15" customHeight="1" x14ac:dyDescent="0.3">
      <c r="A3" s="5" t="s">
        <v>9</v>
      </c>
      <c r="B3" s="2" t="str">
        <f>VLOOKUP(A3,Products!$A$2:$F$9,2,FALSE())</f>
        <v>Keyboard</v>
      </c>
      <c r="C3" s="2" t="str">
        <f>VLOOKUP(A3,Products!$A$2:$F$9,3,FALSE())</f>
        <v>Accessories</v>
      </c>
      <c r="D3" s="3">
        <f>VLOOKUP(A3,Products!$A$2:$F$9,4,FALSE())</f>
        <v>2500</v>
      </c>
      <c r="E3" s="2">
        <v>10</v>
      </c>
      <c r="F3" s="3">
        <f t="shared" si="0"/>
        <v>25000</v>
      </c>
      <c r="G3" s="3">
        <f>VLOOKUP(A3,Products!$A$2:$F$9,4,FALSE())</f>
        <v>2500</v>
      </c>
      <c r="H3" s="6" t="str">
        <f>INDEX(Products!$C$2:$C$9,MATCH(A3,Products!$A$2:$A$9,0))</f>
        <v>Accessories</v>
      </c>
    </row>
    <row r="4" spans="1:8" ht="15" customHeight="1" x14ac:dyDescent="0.3">
      <c r="A4" s="5" t="s">
        <v>10</v>
      </c>
      <c r="B4" s="2" t="str">
        <f>VLOOKUP(A4,Products!$A$2:$F$9,2,FALSE())</f>
        <v>Desk</v>
      </c>
      <c r="C4" s="2" t="str">
        <f>VLOOKUP(A4,Products!$A$2:$F$9,3,FALSE())</f>
        <v>Furniture</v>
      </c>
      <c r="D4" s="3">
        <f>VLOOKUP(A4,Products!$A$2:$F$9,4,FALSE())</f>
        <v>12000</v>
      </c>
      <c r="E4" s="2">
        <v>4</v>
      </c>
      <c r="F4" s="3">
        <f t="shared" si="0"/>
        <v>48000</v>
      </c>
      <c r="G4" s="3">
        <f>VLOOKUP(A4,Products!$A$2:$F$9,4,FALSE())</f>
        <v>12000</v>
      </c>
      <c r="H4" s="6" t="str">
        <f>INDEX(Products!$C$2:$C$9,MATCH(A4,Products!$A$2:$A$9,0))</f>
        <v>Furniture</v>
      </c>
    </row>
    <row r="5" spans="1:8" ht="15" customHeight="1" x14ac:dyDescent="0.3">
      <c r="A5" s="5" t="s">
        <v>11</v>
      </c>
      <c r="B5" s="2" t="str">
        <f>VLOOKUP(A5,Products!$A$2:$F$9,2,FALSE())</f>
        <v>Monitor</v>
      </c>
      <c r="C5" s="2" t="str">
        <f>VLOOKUP(A5,Products!$A$2:$F$9,3,FALSE())</f>
        <v>Electronics</v>
      </c>
      <c r="D5" s="3">
        <f>VLOOKUP(A5,Products!$A$2:$F$9,4,FALSE())</f>
        <v>18000</v>
      </c>
      <c r="E5" s="2">
        <v>8</v>
      </c>
      <c r="F5" s="3">
        <f t="shared" si="0"/>
        <v>144000</v>
      </c>
      <c r="G5" s="3">
        <f>VLOOKUP(A5,Products!$A$2:$F$9,4,FALSE())</f>
        <v>18000</v>
      </c>
      <c r="H5" s="6" t="str">
        <f>INDEX(Products!$C$2:$C$9,MATCH(A5,Products!$A$2:$A$9,0))</f>
        <v>Electronics</v>
      </c>
    </row>
    <row r="6" spans="1:8" ht="15" customHeight="1" x14ac:dyDescent="0.3">
      <c r="A6" s="5" t="s">
        <v>12</v>
      </c>
      <c r="B6" s="2" t="str">
        <f>VLOOKUP(A6,Products!$A$2:$F$9,2,FALSE())</f>
        <v>Mouse</v>
      </c>
      <c r="C6" s="2" t="str">
        <f>VLOOKUP(A6,Products!$A$2:$F$9,3,FALSE())</f>
        <v>Accessories</v>
      </c>
      <c r="D6" s="3">
        <f>VLOOKUP(A6,Products!$A$2:$F$9,4,FALSE())</f>
        <v>1500</v>
      </c>
      <c r="E6" s="2">
        <v>15</v>
      </c>
      <c r="F6" s="3">
        <f t="shared" si="0"/>
        <v>22500</v>
      </c>
      <c r="G6" s="3">
        <f>VLOOKUP(A6,Products!$A$2:$F$9,4,FALSE())</f>
        <v>1500</v>
      </c>
      <c r="H6" s="6" t="str">
        <f>INDEX(Products!$C$2:$C$9,MATCH(A6,Products!$A$2:$A$9,0))</f>
        <v>Accessories</v>
      </c>
    </row>
    <row r="7" spans="1:8" ht="15" customHeight="1" x14ac:dyDescent="0.3">
      <c r="A7" s="5" t="s">
        <v>13</v>
      </c>
      <c r="B7" s="2" t="str">
        <f>VLOOKUP(A7,Products!$A$2:$F$9,2,FALSE())</f>
        <v>Chair</v>
      </c>
      <c r="C7" s="2" t="str">
        <f>VLOOKUP(A7,Products!$A$2:$F$9,3,FALSE())</f>
        <v>Furniture</v>
      </c>
      <c r="D7" s="3">
        <f>VLOOKUP(A7,Products!$A$2:$F$9,4,FALSE())</f>
        <v>9000</v>
      </c>
      <c r="E7" s="2">
        <v>5</v>
      </c>
      <c r="F7" s="3">
        <f t="shared" si="0"/>
        <v>45000</v>
      </c>
      <c r="G7" s="3">
        <f>VLOOKUP(A7,Products!$A$2:$F$9,4,FALSE())</f>
        <v>9000</v>
      </c>
      <c r="H7" s="6" t="str">
        <f>INDEX(Products!$C$2:$C$9,MATCH(A7,Products!$A$2:$A$9,0))</f>
        <v>Furniture</v>
      </c>
    </row>
    <row r="8" spans="1:8" ht="15" customHeight="1" x14ac:dyDescent="0.3">
      <c r="A8" s="5" t="s">
        <v>14</v>
      </c>
      <c r="B8" s="2" t="str">
        <f>VLOOKUP(A8,Products!$A$2:$F$9,2,FALSE())</f>
        <v>Headset</v>
      </c>
      <c r="C8" s="2" t="str">
        <f>VLOOKUP(A8,Products!$A$2:$F$9,3,FALSE())</f>
        <v>Accessories</v>
      </c>
      <c r="D8" s="3">
        <f>VLOOKUP(A8,Products!$A$2:$F$9,4,FALSE())</f>
        <v>3500</v>
      </c>
      <c r="E8" s="2">
        <v>12</v>
      </c>
      <c r="F8" s="3">
        <f t="shared" si="0"/>
        <v>42000</v>
      </c>
      <c r="G8" s="3">
        <f>VLOOKUP(A8,Products!$A$2:$F$9,4,FALSE())</f>
        <v>3500</v>
      </c>
      <c r="H8" s="6" t="str">
        <f>INDEX(Products!$C$2:$C$9,MATCH(A8,Products!$A$2:$A$9,0))</f>
        <v>Accessories</v>
      </c>
    </row>
    <row r="9" spans="1:8" ht="15" customHeight="1" x14ac:dyDescent="0.3">
      <c r="A9" s="5" t="s">
        <v>15</v>
      </c>
      <c r="B9" s="2" t="str">
        <f>VLOOKUP(A9,Products!$A$2:$F$9,2,FALSE())</f>
        <v>Printer</v>
      </c>
      <c r="C9" s="2" t="str">
        <f>VLOOKUP(A9,Products!$A$2:$F$9,3,FALSE())</f>
        <v>Electronics</v>
      </c>
      <c r="D9" s="3">
        <f>VLOOKUP(A9,Products!$A$2:$F$9,4,FALSE())</f>
        <v>22000</v>
      </c>
      <c r="E9" s="2">
        <v>3</v>
      </c>
      <c r="F9" s="3">
        <f t="shared" si="0"/>
        <v>66000</v>
      </c>
      <c r="G9" s="3">
        <f>VLOOKUP(A9,Products!$A$2:$F$9,4,FALSE())</f>
        <v>22000</v>
      </c>
      <c r="H9" s="6" t="str">
        <f>INDEX(Products!$C$2:$C$9,MATCH(A9,Products!$A$2:$A$9,0))</f>
        <v>Electronics</v>
      </c>
    </row>
    <row r="10" spans="1:8" ht="15" customHeight="1" x14ac:dyDescent="0.3">
      <c r="A10" s="5" t="s">
        <v>11</v>
      </c>
      <c r="B10" s="2" t="str">
        <f>VLOOKUP(A10,Products!$A$2:$F$9,2,FALSE())</f>
        <v>Monitor</v>
      </c>
      <c r="C10" s="2" t="str">
        <f>VLOOKUP(A10,Products!$A$2:$F$9,3,FALSE())</f>
        <v>Electronics</v>
      </c>
      <c r="D10" s="3">
        <f>VLOOKUP(A10,Products!$A$2:$F$9,4,FALSE())</f>
        <v>18000</v>
      </c>
      <c r="E10" s="2">
        <v>7</v>
      </c>
      <c r="F10" s="3">
        <f t="shared" si="0"/>
        <v>126000</v>
      </c>
      <c r="G10" s="3">
        <f>VLOOKUP(A10,Products!$A$2:$F$9,4,FALSE())</f>
        <v>18000</v>
      </c>
      <c r="H10" s="6" t="str">
        <f>INDEX(Products!$C$2:$C$9,MATCH(A10,Products!$A$2:$A$9,0))</f>
        <v>Electronics</v>
      </c>
    </row>
    <row r="11" spans="1:8" ht="15" customHeight="1" x14ac:dyDescent="0.3">
      <c r="A11" s="5" t="s">
        <v>8</v>
      </c>
      <c r="B11" s="2" t="str">
        <f>VLOOKUP(A11,Products!$A$2:$F$9,2,FALSE())</f>
        <v>Laptop</v>
      </c>
      <c r="C11" s="2" t="str">
        <f>VLOOKUP(A11,Products!$A$2:$F$9,3,FALSE())</f>
        <v>Electronics</v>
      </c>
      <c r="D11" s="3">
        <f>VLOOKUP(A11,Products!$A$2:$F$9,4,FALSE())</f>
        <v>65000</v>
      </c>
      <c r="E11" s="2">
        <v>3</v>
      </c>
      <c r="F11" s="3">
        <f t="shared" si="0"/>
        <v>195000</v>
      </c>
      <c r="G11" s="3">
        <f>VLOOKUP(A11,Products!$A$2:$F$9,4,FALSE())</f>
        <v>65000</v>
      </c>
      <c r="H11" s="6" t="str">
        <f>INDEX(Products!$C$2:$C$9,MATCH(A11,Products!$A$2:$A$9,0))</f>
        <v>Electronics</v>
      </c>
    </row>
    <row r="12" spans="1:8" ht="15" customHeight="1" x14ac:dyDescent="0.3">
      <c r="A12" s="5" t="s">
        <v>9</v>
      </c>
      <c r="B12" s="2" t="str">
        <f>VLOOKUP(A12,Products!$A$2:$F$9,2,FALSE())</f>
        <v>Keyboard</v>
      </c>
      <c r="C12" s="2" t="str">
        <f>VLOOKUP(A12,Products!$A$2:$F$9,3,FALSE())</f>
        <v>Accessories</v>
      </c>
      <c r="D12" s="3">
        <f>VLOOKUP(A12,Products!$A$2:$F$9,4,FALSE())</f>
        <v>2500</v>
      </c>
      <c r="E12" s="2">
        <v>20</v>
      </c>
      <c r="F12" s="3">
        <f t="shared" si="0"/>
        <v>50000</v>
      </c>
      <c r="G12" s="3">
        <f>VLOOKUP(A12,Products!$A$2:$F$9,4,FALSE())</f>
        <v>2500</v>
      </c>
      <c r="H12" s="6" t="str">
        <f>INDEX(Products!$C$2:$C$9,MATCH(A12,Products!$A$2:$A$9,0))</f>
        <v>Accessories</v>
      </c>
    </row>
    <row r="13" spans="1:8" ht="15" customHeight="1" x14ac:dyDescent="0.3">
      <c r="A13" s="5" t="s">
        <v>10</v>
      </c>
      <c r="B13" s="2" t="str">
        <f>VLOOKUP(A13,Products!$A$2:$F$9,2,FALSE())</f>
        <v>Desk</v>
      </c>
      <c r="C13" s="2" t="str">
        <f>VLOOKUP(A13,Products!$A$2:$F$9,3,FALSE())</f>
        <v>Furniture</v>
      </c>
      <c r="D13" s="3">
        <f>VLOOKUP(A13,Products!$A$2:$F$9,4,FALSE())</f>
        <v>12000</v>
      </c>
      <c r="E13" s="2">
        <v>6</v>
      </c>
      <c r="F13" s="3">
        <f t="shared" si="0"/>
        <v>72000</v>
      </c>
      <c r="G13" s="3">
        <f>VLOOKUP(A13,Products!$A$2:$F$9,4,FALSE())</f>
        <v>12000</v>
      </c>
      <c r="H13" s="6" t="str">
        <f>INDEX(Products!$C$2:$C$9,MATCH(A13,Products!$A$2:$A$9,0))</f>
        <v>Furniture</v>
      </c>
    </row>
    <row r="14" spans="1:8" ht="15" customHeight="1" x14ac:dyDescent="0.3">
      <c r="A14" s="5" t="s">
        <v>13</v>
      </c>
      <c r="B14" s="2" t="str">
        <f>VLOOKUP(A14,Products!$A$2:$F$9,2,FALSE())</f>
        <v>Chair</v>
      </c>
      <c r="C14" s="2" t="str">
        <f>VLOOKUP(A14,Products!$A$2:$F$9,3,FALSE())</f>
        <v>Furniture</v>
      </c>
      <c r="D14" s="3">
        <f>VLOOKUP(A14,Products!$A$2:$F$9,4,FALSE())</f>
        <v>9000</v>
      </c>
      <c r="E14" s="2">
        <v>7</v>
      </c>
      <c r="F14" s="3">
        <f t="shared" si="0"/>
        <v>63000</v>
      </c>
      <c r="G14" s="3">
        <f>VLOOKUP(A14,Products!$A$2:$F$9,4,FALSE())</f>
        <v>9000</v>
      </c>
      <c r="H14" s="6" t="str">
        <f>INDEX(Products!$C$2:$C$9,MATCH(A14,Products!$A$2:$A$9,0))</f>
        <v>Furniture</v>
      </c>
    </row>
    <row r="15" spans="1:8" ht="15" customHeight="1" x14ac:dyDescent="0.3">
      <c r="A15" s="5" t="s">
        <v>15</v>
      </c>
      <c r="B15" s="2" t="str">
        <f>VLOOKUP(A15,Products!$A$2:$F$9,2,FALSE())</f>
        <v>Printer</v>
      </c>
      <c r="C15" s="2" t="str">
        <f>VLOOKUP(A15,Products!$A$2:$F$9,3,FALSE())</f>
        <v>Electronics</v>
      </c>
      <c r="D15" s="3">
        <f>VLOOKUP(A15,Products!$A$2:$F$9,4,FALSE())</f>
        <v>22000</v>
      </c>
      <c r="E15" s="2">
        <v>4</v>
      </c>
      <c r="F15" s="3">
        <f t="shared" si="0"/>
        <v>88000</v>
      </c>
      <c r="G15" s="3">
        <f>VLOOKUP(A15,Products!$A$2:$F$9,4,FALSE())</f>
        <v>22000</v>
      </c>
      <c r="H15" s="6" t="str">
        <f>INDEX(Products!$C$2:$C$9,MATCH(A15,Products!$A$2:$A$9,0))</f>
        <v>Electronics</v>
      </c>
    </row>
    <row r="16" spans="1:8" ht="15" customHeight="1" x14ac:dyDescent="0.3">
      <c r="A16" s="5" t="s">
        <v>12</v>
      </c>
      <c r="B16" s="2" t="str">
        <f>VLOOKUP(A16,Products!$A$2:$F$9,2,FALSE())</f>
        <v>Mouse</v>
      </c>
      <c r="C16" s="2" t="str">
        <f>VLOOKUP(A16,Products!$A$2:$F$9,3,FALSE())</f>
        <v>Accessories</v>
      </c>
      <c r="D16" s="3">
        <f>VLOOKUP(A16,Products!$A$2:$F$9,4,FALSE())</f>
        <v>1500</v>
      </c>
      <c r="E16" s="2">
        <v>25</v>
      </c>
      <c r="F16" s="3">
        <f t="shared" si="0"/>
        <v>37500</v>
      </c>
      <c r="G16" s="3">
        <f>VLOOKUP(A16,Products!$A$2:$F$9,4,FALSE())</f>
        <v>1500</v>
      </c>
      <c r="H16" s="6" t="str">
        <f>INDEX(Products!$C$2:$C$9,MATCH(A16,Products!$A$2:$A$9,0))</f>
        <v>Accessories</v>
      </c>
    </row>
    <row r="17" spans="1:8" ht="15" customHeight="1" x14ac:dyDescent="0.3">
      <c r="A17" s="5" t="s">
        <v>14</v>
      </c>
      <c r="B17" s="2" t="str">
        <f>VLOOKUP(A17,Products!$A$2:$F$9,2,FALSE())</f>
        <v>Headset</v>
      </c>
      <c r="C17" s="2" t="str">
        <f>VLOOKUP(A17,Products!$A$2:$F$9,3,FALSE())</f>
        <v>Accessories</v>
      </c>
      <c r="D17" s="3">
        <f>VLOOKUP(A17,Products!$A$2:$F$9,4,FALSE())</f>
        <v>3500</v>
      </c>
      <c r="E17" s="2">
        <v>15</v>
      </c>
      <c r="F17" s="3">
        <f t="shared" si="0"/>
        <v>52500</v>
      </c>
      <c r="G17" s="3">
        <f>VLOOKUP(A17,Products!$A$2:$F$9,4,FALSE())</f>
        <v>3500</v>
      </c>
      <c r="H17" s="6" t="str">
        <f>INDEX(Products!$C$2:$C$9,MATCH(A17,Products!$A$2:$A$9,0))</f>
        <v>Accessories</v>
      </c>
    </row>
    <row r="18" spans="1:8" ht="15" customHeight="1" x14ac:dyDescent="0.3">
      <c r="A18" s="5" t="s">
        <v>8</v>
      </c>
      <c r="B18" s="2" t="str">
        <f>VLOOKUP(A18,Products!$A$2:$F$9,2,FALSE())</f>
        <v>Laptop</v>
      </c>
      <c r="C18" s="2" t="str">
        <f>VLOOKUP(A18,Products!$A$2:$F$9,3,FALSE())</f>
        <v>Electronics</v>
      </c>
      <c r="D18" s="3">
        <f>VLOOKUP(A18,Products!$A$2:$F$9,4,FALSE())</f>
        <v>65000</v>
      </c>
      <c r="E18" s="2">
        <v>1</v>
      </c>
      <c r="F18" s="3">
        <f t="shared" si="0"/>
        <v>65000</v>
      </c>
      <c r="G18" s="3">
        <f>VLOOKUP(A18,Products!$A$2:$F$9,4,FALSE())</f>
        <v>65000</v>
      </c>
      <c r="H18" s="6" t="str">
        <f>INDEX(Products!$C$2:$C$9,MATCH(A18,Products!$A$2:$A$9,0))</f>
        <v>Electronics</v>
      </c>
    </row>
    <row r="19" spans="1:8" ht="15" customHeight="1" x14ac:dyDescent="0.3">
      <c r="A19" s="5" t="s">
        <v>11</v>
      </c>
      <c r="B19" s="2" t="str">
        <f>VLOOKUP(A19,Products!$A$2:$F$9,2,FALSE())</f>
        <v>Monitor</v>
      </c>
      <c r="C19" s="2" t="str">
        <f>VLOOKUP(A19,Products!$A$2:$F$9,3,FALSE())</f>
        <v>Electronics</v>
      </c>
      <c r="D19" s="3">
        <f>VLOOKUP(A19,Products!$A$2:$F$9,4,FALSE())</f>
        <v>18000</v>
      </c>
      <c r="E19" s="2">
        <v>10</v>
      </c>
      <c r="F19" s="3">
        <f t="shared" si="0"/>
        <v>180000</v>
      </c>
      <c r="G19" s="3">
        <f>VLOOKUP(A19,Products!$A$2:$F$9,4,FALSE())</f>
        <v>18000</v>
      </c>
      <c r="H19" s="6" t="str">
        <f>INDEX(Products!$C$2:$C$9,MATCH(A19,Products!$A$2:$A$9,0))</f>
        <v>Electronics</v>
      </c>
    </row>
    <row r="20" spans="1:8" ht="15" customHeight="1" x14ac:dyDescent="0.3">
      <c r="A20" s="5" t="s">
        <v>13</v>
      </c>
      <c r="B20" s="2" t="str">
        <f>VLOOKUP(A20,Products!$A$2:$F$9,2,FALSE())</f>
        <v>Chair</v>
      </c>
      <c r="C20" s="2" t="str">
        <f>VLOOKUP(A20,Products!$A$2:$F$9,3,FALSE())</f>
        <v>Furniture</v>
      </c>
      <c r="D20" s="3">
        <f>VLOOKUP(A20,Products!$A$2:$F$9,4,FALSE())</f>
        <v>9000</v>
      </c>
      <c r="E20" s="2">
        <v>8</v>
      </c>
      <c r="F20" s="3">
        <f t="shared" si="0"/>
        <v>72000</v>
      </c>
      <c r="G20" s="3">
        <f>VLOOKUP(A20,Products!$A$2:$F$9,4,FALSE())</f>
        <v>9000</v>
      </c>
      <c r="H20" s="6" t="str">
        <f>INDEX(Products!$C$2:$C$9,MATCH(A20,Products!$A$2:$A$9,0))</f>
        <v>Furniture</v>
      </c>
    </row>
    <row r="21" spans="1:8" ht="15" customHeight="1" x14ac:dyDescent="0.3">
      <c r="A21" s="5" t="s">
        <v>9</v>
      </c>
      <c r="B21" s="2" t="str">
        <f>VLOOKUP(A21,Products!$A$2:$F$9,2,FALSE())</f>
        <v>Keyboard</v>
      </c>
      <c r="C21" s="2" t="str">
        <f>VLOOKUP(A21,Products!$A$2:$F$9,3,FALSE())</f>
        <v>Accessories</v>
      </c>
      <c r="D21" s="3">
        <f>VLOOKUP(A21,Products!$A$2:$F$9,4,FALSE())</f>
        <v>2500</v>
      </c>
      <c r="E21" s="2">
        <v>30</v>
      </c>
      <c r="F21" s="3">
        <f t="shared" si="0"/>
        <v>75000</v>
      </c>
      <c r="G21" s="3">
        <f>VLOOKUP(A21,Products!$A$2:$F$9,4,FALSE())</f>
        <v>2500</v>
      </c>
      <c r="H21" s="6" t="str">
        <f>INDEX(Products!$C$2:$C$9,MATCH(A21,Products!$A$2:$A$9,0))</f>
        <v>Accessories</v>
      </c>
    </row>
    <row r="22" spans="1:8" ht="15" customHeight="1" x14ac:dyDescent="0.3">
      <c r="A22" s="5" t="s">
        <v>15</v>
      </c>
      <c r="B22" s="2" t="str">
        <f>VLOOKUP(A22,Products!$A$2:$F$9,2,FALSE())</f>
        <v>Printer</v>
      </c>
      <c r="C22" s="2" t="str">
        <f>VLOOKUP(A22,Products!$A$2:$F$9,3,FALSE())</f>
        <v>Electronics</v>
      </c>
      <c r="D22" s="3">
        <f>VLOOKUP(A22,Products!$A$2:$F$9,4,FALSE())</f>
        <v>22000</v>
      </c>
      <c r="E22" s="2">
        <v>5</v>
      </c>
      <c r="F22" s="3">
        <f t="shared" si="0"/>
        <v>110000</v>
      </c>
      <c r="G22" s="3">
        <f>VLOOKUP(A22,Products!$A$2:$F$9,4,FALSE())</f>
        <v>22000</v>
      </c>
      <c r="H22" s="6" t="str">
        <f>INDEX(Products!$C$2:$C$9,MATCH(A22,Products!$A$2:$A$9,0))</f>
        <v>Electronics</v>
      </c>
    </row>
    <row r="23" spans="1:8" ht="15" customHeight="1" x14ac:dyDescent="0.3">
      <c r="A23" s="5" t="s">
        <v>12</v>
      </c>
      <c r="B23" s="2" t="str">
        <f>VLOOKUP(A23,Products!$A$2:$F$9,2,FALSE())</f>
        <v>Mouse</v>
      </c>
      <c r="C23" s="2" t="str">
        <f>VLOOKUP(A23,Products!$A$2:$F$9,3,FALSE())</f>
        <v>Accessories</v>
      </c>
      <c r="D23" s="3">
        <f>VLOOKUP(A23,Products!$A$2:$F$9,4,FALSE())</f>
        <v>1500</v>
      </c>
      <c r="E23" s="2">
        <v>40</v>
      </c>
      <c r="F23" s="3">
        <f t="shared" si="0"/>
        <v>60000</v>
      </c>
      <c r="G23" s="3">
        <f>VLOOKUP(A23,Products!$A$2:$F$9,4,FALSE())</f>
        <v>1500</v>
      </c>
      <c r="H23" s="6" t="str">
        <f>INDEX(Products!$C$2:$C$9,MATCH(A23,Products!$A$2:$A$9,0))</f>
        <v>Accessories</v>
      </c>
    </row>
    <row r="24" spans="1:8" ht="15" customHeight="1" x14ac:dyDescent="0.3">
      <c r="A24" s="5" t="s">
        <v>10</v>
      </c>
      <c r="B24" s="2" t="str">
        <f>VLOOKUP(A24,Products!$A$2:$F$9,2,FALSE())</f>
        <v>Desk</v>
      </c>
      <c r="C24" s="2" t="str">
        <f>VLOOKUP(A24,Products!$A$2:$F$9,3,FALSE())</f>
        <v>Furniture</v>
      </c>
      <c r="D24" s="3">
        <f>VLOOKUP(A24,Products!$A$2:$F$9,4,FALSE())</f>
        <v>12000</v>
      </c>
      <c r="E24" s="2">
        <v>5</v>
      </c>
      <c r="F24" s="3">
        <f t="shared" si="0"/>
        <v>60000</v>
      </c>
      <c r="G24" s="3">
        <f>VLOOKUP(A24,Products!$A$2:$F$9,4,FALSE())</f>
        <v>12000</v>
      </c>
      <c r="H24" s="6" t="str">
        <f>INDEX(Products!$C$2:$C$9,MATCH(A24,Products!$A$2:$A$9,0))</f>
        <v>Furniture</v>
      </c>
    </row>
    <row r="25" spans="1:8" ht="15" customHeight="1" x14ac:dyDescent="0.3">
      <c r="A25" s="10" t="s">
        <v>8</v>
      </c>
      <c r="B25" s="11" t="str">
        <f>VLOOKUP(A25,Products!$A$2:$F$9,2,FALSE())</f>
        <v>Laptop</v>
      </c>
      <c r="C25" s="11" t="str">
        <f>VLOOKUP(A25,Products!$A$2:$F$9,3,FALSE())</f>
        <v>Electronics</v>
      </c>
      <c r="D25" s="12">
        <f>VLOOKUP(A25,Products!$A$2:$F$9,4,FALSE())</f>
        <v>65000</v>
      </c>
      <c r="E25" s="11">
        <v>2</v>
      </c>
      <c r="F25" s="12">
        <f t="shared" si="0"/>
        <v>130000</v>
      </c>
      <c r="G25" s="12">
        <f>VLOOKUP(A25,Products!$A$2:$F$9,4,FALSE())</f>
        <v>65000</v>
      </c>
      <c r="H25" s="13" t="str">
        <f>INDEX(Products!$C$2:$C$9,MATCH(A25,Products!$A$2:$A$9,0))</f>
        <v>Electronics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zoomScaleNormal="100" workbookViewId="0">
      <selection sqref="A1:F9"/>
    </sheetView>
  </sheetViews>
  <sheetFormatPr defaultColWidth="8.6640625" defaultRowHeight="15" customHeight="1" x14ac:dyDescent="0.3"/>
  <cols>
    <col min="1" max="1" width="12" customWidth="1"/>
    <col min="2" max="2" width="10" customWidth="1"/>
    <col min="3" max="3" width="13" customWidth="1"/>
    <col min="4" max="4" width="12" customWidth="1"/>
    <col min="5" max="6" width="10" customWidth="1"/>
  </cols>
  <sheetData>
    <row r="1" spans="1: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</row>
    <row r="2" spans="1:6" ht="15" customHeight="1" x14ac:dyDescent="0.3">
      <c r="A2" s="2" t="s">
        <v>8</v>
      </c>
      <c r="B2" s="2" t="s">
        <v>18</v>
      </c>
      <c r="C2" s="2" t="s">
        <v>19</v>
      </c>
      <c r="D2" s="3">
        <v>65000</v>
      </c>
      <c r="E2" s="2">
        <v>12</v>
      </c>
      <c r="F2" s="4">
        <v>0.12</v>
      </c>
    </row>
    <row r="3" spans="1:6" ht="15" customHeight="1" x14ac:dyDescent="0.3">
      <c r="A3" s="2" t="s">
        <v>11</v>
      </c>
      <c r="B3" s="2" t="s">
        <v>20</v>
      </c>
      <c r="C3" s="2" t="s">
        <v>19</v>
      </c>
      <c r="D3" s="3">
        <v>18000</v>
      </c>
      <c r="E3" s="2">
        <v>25</v>
      </c>
      <c r="F3" s="4">
        <v>0.08</v>
      </c>
    </row>
    <row r="4" spans="1:6" ht="15" customHeight="1" x14ac:dyDescent="0.3">
      <c r="A4" s="2" t="s">
        <v>9</v>
      </c>
      <c r="B4" s="2" t="s">
        <v>21</v>
      </c>
      <c r="C4" s="2" t="s">
        <v>22</v>
      </c>
      <c r="D4" s="3">
        <v>2500</v>
      </c>
      <c r="E4" s="2">
        <v>60</v>
      </c>
      <c r="F4" s="4">
        <v>0.05</v>
      </c>
    </row>
    <row r="5" spans="1:6" ht="15" customHeight="1" x14ac:dyDescent="0.3">
      <c r="A5" s="2" t="s">
        <v>12</v>
      </c>
      <c r="B5" s="2" t="s">
        <v>23</v>
      </c>
      <c r="C5" s="2" t="s">
        <v>22</v>
      </c>
      <c r="D5" s="3">
        <v>1500</v>
      </c>
      <c r="E5" s="2">
        <v>85</v>
      </c>
      <c r="F5" s="4">
        <v>0.04</v>
      </c>
    </row>
    <row r="6" spans="1:6" ht="15" customHeight="1" x14ac:dyDescent="0.3">
      <c r="A6" s="2" t="s">
        <v>10</v>
      </c>
      <c r="B6" s="2" t="s">
        <v>24</v>
      </c>
      <c r="C6" s="2" t="s">
        <v>25</v>
      </c>
      <c r="D6" s="3">
        <v>12000</v>
      </c>
      <c r="E6" s="2">
        <v>18</v>
      </c>
      <c r="F6" s="4">
        <v>0.1</v>
      </c>
    </row>
    <row r="7" spans="1:6" ht="15" customHeight="1" x14ac:dyDescent="0.3">
      <c r="A7" s="2" t="s">
        <v>13</v>
      </c>
      <c r="B7" s="2" t="s">
        <v>26</v>
      </c>
      <c r="C7" s="2" t="s">
        <v>25</v>
      </c>
      <c r="D7" s="3">
        <v>9000</v>
      </c>
      <c r="E7" s="2">
        <v>22</v>
      </c>
      <c r="F7" s="4">
        <v>0.09</v>
      </c>
    </row>
    <row r="8" spans="1:6" ht="15" customHeight="1" x14ac:dyDescent="0.3">
      <c r="A8" s="2" t="s">
        <v>14</v>
      </c>
      <c r="B8" s="2" t="s">
        <v>27</v>
      </c>
      <c r="C8" s="2" t="s">
        <v>22</v>
      </c>
      <c r="D8" s="3">
        <v>3500</v>
      </c>
      <c r="E8" s="2">
        <v>40</v>
      </c>
      <c r="F8" s="4">
        <v>0.06</v>
      </c>
    </row>
    <row r="9" spans="1:6" ht="15" customHeight="1" x14ac:dyDescent="0.3">
      <c r="A9" s="2" t="s">
        <v>15</v>
      </c>
      <c r="B9" s="2" t="s">
        <v>28</v>
      </c>
      <c r="C9" s="2" t="s">
        <v>19</v>
      </c>
      <c r="D9" s="3">
        <v>22000</v>
      </c>
      <c r="E9" s="2">
        <v>14</v>
      </c>
      <c r="F9" s="4">
        <v>0.11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Bhoopendra Kumar</cp:lastModifiedBy>
  <dcterms:modified xsi:type="dcterms:W3CDTF">2026-09-30T03:56:06Z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2026-09-21T17:43:55Z</dcterms:modified>
  <cp:revision>0</cp:revision>
  <dc:subject/>
  <dc:title/>
</cp:coreProperties>
</file>